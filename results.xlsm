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Code\SharpDX\Temp\BenchNativeApp\"/>
    </mc:Choice>
  </mc:AlternateContent>
  <bookViews>
    <workbookView xWindow="0" yWindow="0" windowWidth="30810" windowHeight="13560"/>
  </bookViews>
  <sheets>
    <sheet name="Compare.NET32" sheetId="3" r:id="rId1"/>
    <sheet name="Compare.NET64" sheetId="11" r:id="rId2"/>
    <sheet name="Compare.NET32vs64Native" sheetId="12" r:id="rId3"/>
    <sheet name="CompareNET64StoreNativevsRyuJit" sheetId="13" r:id="rId4"/>
    <sheet name=".NET32" sheetId="1" r:id="rId5"/>
    <sheet name=".NET32Store" sheetId="6" r:id="rId6"/>
    <sheet name=".NET32StoreNative" sheetId="2" r:id="rId7"/>
    <sheet name=".NET64" sheetId="4" r:id="rId8"/>
    <sheet name=".NET64Store" sheetId="9" r:id="rId9"/>
    <sheet name=".NET64StoreNative" sheetId="5" r:id="rId10"/>
    <sheet name=".NET64RyuJit" sheetId="7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3" l="1"/>
  <c r="D42" i="3"/>
  <c r="D54" i="3"/>
  <c r="D60" i="3"/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C3" i="12" l="1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2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2" i="11"/>
  <c r="B57" i="11"/>
  <c r="A57" i="11"/>
  <c r="B56" i="11"/>
  <c r="A56" i="11"/>
  <c r="B55" i="11"/>
  <c r="A55" i="11"/>
  <c r="B54" i="11"/>
  <c r="A54" i="11"/>
  <c r="B53" i="11"/>
  <c r="A53" i="11"/>
  <c r="B52" i="11"/>
  <c r="A52" i="11"/>
  <c r="B51" i="11"/>
  <c r="A51" i="11"/>
  <c r="B50" i="11"/>
  <c r="A50" i="11"/>
  <c r="B49" i="11"/>
  <c r="A49" i="11"/>
  <c r="B48" i="11"/>
  <c r="A48" i="11"/>
  <c r="B47" i="11"/>
  <c r="A47" i="11"/>
  <c r="B46" i="11"/>
  <c r="A46" i="11"/>
  <c r="B45" i="11"/>
  <c r="A45" i="11"/>
  <c r="B44" i="11"/>
  <c r="A44" i="11"/>
  <c r="B43" i="11"/>
  <c r="A43" i="11"/>
  <c r="B42" i="11"/>
  <c r="A42" i="11"/>
  <c r="B41" i="11"/>
  <c r="A41" i="11"/>
  <c r="B40" i="11"/>
  <c r="A40" i="11"/>
  <c r="B39" i="11"/>
  <c r="A39" i="11"/>
  <c r="B38" i="11"/>
  <c r="A38" i="11"/>
  <c r="B37" i="11"/>
  <c r="A37" i="11"/>
  <c r="B36" i="11"/>
  <c r="A36" i="11"/>
  <c r="B35" i="11"/>
  <c r="A35" i="11"/>
  <c r="B34" i="11"/>
  <c r="A34" i="11"/>
  <c r="B33" i="11"/>
  <c r="A33" i="11"/>
  <c r="B32" i="11"/>
  <c r="A32" i="11"/>
  <c r="B31" i="11"/>
  <c r="A31" i="11"/>
  <c r="B30" i="11"/>
  <c r="A30" i="11"/>
  <c r="B29" i="11"/>
  <c r="A29" i="11"/>
  <c r="B28" i="11"/>
  <c r="A28" i="11"/>
  <c r="B27" i="11"/>
  <c r="A27" i="11"/>
  <c r="B26" i="11"/>
  <c r="A26" i="11"/>
  <c r="B25" i="11"/>
  <c r="A25" i="11"/>
  <c r="B24" i="11"/>
  <c r="A24" i="11"/>
  <c r="B23" i="11"/>
  <c r="A23" i="11"/>
  <c r="B22" i="11"/>
  <c r="A22" i="11"/>
  <c r="B21" i="11"/>
  <c r="A21" i="11"/>
  <c r="B20" i="11"/>
  <c r="A20" i="11"/>
  <c r="B19" i="11"/>
  <c r="A19" i="11"/>
  <c r="B18" i="11"/>
  <c r="A18" i="11"/>
  <c r="B17" i="11"/>
  <c r="A17" i="11"/>
  <c r="B16" i="11"/>
  <c r="A16" i="11"/>
  <c r="B15" i="11"/>
  <c r="A15" i="11"/>
  <c r="B14" i="11"/>
  <c r="A14" i="11"/>
  <c r="B13" i="11"/>
  <c r="A13" i="11"/>
  <c r="B12" i="11"/>
  <c r="A12" i="11"/>
  <c r="B11" i="11"/>
  <c r="A11" i="11"/>
  <c r="B10" i="11"/>
  <c r="A10" i="11"/>
  <c r="B9" i="11"/>
  <c r="A9" i="11"/>
  <c r="B8" i="11"/>
  <c r="A8" i="11"/>
  <c r="B7" i="11"/>
  <c r="A7" i="11"/>
  <c r="B6" i="11"/>
  <c r="A6" i="11"/>
  <c r="B5" i="11"/>
  <c r="A5" i="11"/>
  <c r="B4" i="11"/>
  <c r="A4" i="11"/>
  <c r="B3" i="11"/>
  <c r="A3" i="11"/>
  <c r="B2" i="11"/>
  <c r="A2" i="11"/>
  <c r="C33" i="3"/>
  <c r="C35" i="3"/>
  <c r="D33" i="3"/>
  <c r="D34" i="3"/>
  <c r="D35" i="3"/>
  <c r="D36" i="3"/>
  <c r="D37" i="3"/>
  <c r="D38" i="3"/>
  <c r="D39" i="3"/>
  <c r="D40" i="3"/>
  <c r="D41" i="3"/>
  <c r="D43" i="3"/>
  <c r="D44" i="3"/>
  <c r="D45" i="3"/>
  <c r="D46" i="3"/>
  <c r="D47" i="3"/>
  <c r="D48" i="3"/>
  <c r="D49" i="3"/>
  <c r="D50" i="3"/>
  <c r="D51" i="3"/>
  <c r="D52" i="3"/>
  <c r="D53" i="3"/>
  <c r="D55" i="3"/>
  <c r="D56" i="3"/>
  <c r="D57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2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4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2" i="3"/>
</calcChain>
</file>

<file path=xl/sharedStrings.xml><?xml version="1.0" encoding="utf-8"?>
<sst xmlns="http://schemas.openxmlformats.org/spreadsheetml/2006/main" count="467" uniqueCount="82">
  <si>
    <t xml:space="preserve">Test name                               </t>
  </si>
  <si>
    <t>#</t>
  </si>
  <si>
    <t>Average</t>
  </si>
  <si>
    <t>First</t>
  </si>
  <si>
    <t xml:space="preserve">Max  </t>
  </si>
  <si>
    <t xml:space="preserve">Min  </t>
  </si>
  <si>
    <t>Std.Dev</t>
  </si>
  <si>
    <t xml:space="preserve">00-Big int Dictionary: 1 Adding items   </t>
  </si>
  <si>
    <t xml:space="preserve">               </t>
  </si>
  <si>
    <t>00-Big int Dictionary: 2 Running queries</t>
  </si>
  <si>
    <t xml:space="preserve">00-Big int Dictionary: 3 Removing items </t>
  </si>
  <si>
    <t>01-Big string Dictionary: 0 Ints to strings</t>
  </si>
  <si>
    <t>01-Big string Dictionary: 1 Adding/setting</t>
  </si>
  <si>
    <t>01-Big string Dictionary: 2 Running queries</t>
  </si>
  <si>
    <t>01-Big string Dictionary: 3 Removing items</t>
  </si>
  <si>
    <t xml:space="preserve">02-Big int sorted map: 1 Adding items   </t>
  </si>
  <si>
    <t>02-Big int sorted map: 2 Running queries</t>
  </si>
  <si>
    <t xml:space="preserve">02-Big int sorted map: 3 Removing items </t>
  </si>
  <si>
    <t xml:space="preserve">03-Square root: double                  </t>
  </si>
  <si>
    <t xml:space="preserve">03-Square root: FPL16                   </t>
  </si>
  <si>
    <t xml:space="preserve">03-Square root: uint                    </t>
  </si>
  <si>
    <t xml:space="preserve">03-Square root: ulong                   </t>
  </si>
  <si>
    <t xml:space="preserve">04-Simple arithmetic: double            </t>
  </si>
  <si>
    <t xml:space="preserve">04-Simple arithmetic: float             </t>
  </si>
  <si>
    <t xml:space="preserve">04-Simple arithmetic: FPI8              </t>
  </si>
  <si>
    <t xml:space="preserve">04-Simple arithmetic: FPL16             </t>
  </si>
  <si>
    <t xml:space="preserve">04-Simple arithmetic: int               </t>
  </si>
  <si>
    <t xml:space="preserve">04-Simple arithmetic: long              </t>
  </si>
  <si>
    <t xml:space="preserve">05-Generic sum: double                  </t>
  </si>
  <si>
    <t xml:space="preserve">05-Generic sum: FPI8                    </t>
  </si>
  <si>
    <t xml:space="preserve">05-Generic sum: int                     </t>
  </si>
  <si>
    <t xml:space="preserve">05-Generic sum: int via IMath           </t>
  </si>
  <si>
    <t xml:space="preserve">05-Generic sum: int without generics    </t>
  </si>
  <si>
    <t xml:space="preserve">06-Simple parsing: 3 Parse (x1000000)   </t>
  </si>
  <si>
    <t xml:space="preserve">06-Simple parsing: 4 Sort (x1000000)    </t>
  </si>
  <si>
    <t xml:space="preserve">07-Trivial method calls: Interface NoOp </t>
  </si>
  <si>
    <t xml:space="preserve">07-Trivial method calls: No-inline NoOp </t>
  </si>
  <si>
    <t xml:space="preserve">07-Trivial method calls: Static NoOp    </t>
  </si>
  <si>
    <t xml:space="preserve">07-Trivial method calls: Virtual NoOp   </t>
  </si>
  <si>
    <t xml:space="preserve">08-Matrix multiply: &lt;double&gt;[n][n]      </t>
  </si>
  <si>
    <t xml:space="preserve">08-Matrix multiply: &lt;float&gt;[n][n]       </t>
  </si>
  <si>
    <t xml:space="preserve">08-Matrix multiply: &lt;int&gt;[n][n]         </t>
  </si>
  <si>
    <t xml:space="preserve">08-Matrix multiply: Array2D&lt;double&gt;     </t>
  </si>
  <si>
    <t xml:space="preserve">08-Matrix multiply: double[n*n]         </t>
  </si>
  <si>
    <t xml:space="preserve">08-Matrix multiply: double[n][n]        </t>
  </si>
  <si>
    <t xml:space="preserve">08-Matrix multiply: int[n][n]           </t>
  </si>
  <si>
    <t xml:space="preserve">09-Sudoku                               </t>
  </si>
  <si>
    <t xml:space="preserve">10-Polynomials                          </t>
  </si>
  <si>
    <t xml:space="preserve">11-JGFArithBench                        </t>
  </si>
  <si>
    <t xml:space="preserve">12-JGFAssignBench                       </t>
  </si>
  <si>
    <t xml:space="preserve">13-JGFCastBench                         </t>
  </si>
  <si>
    <t xml:space="preserve">14-JGFCreateBench                       </t>
  </si>
  <si>
    <t xml:space="preserve">15-JGFFFTBench                          </t>
  </si>
  <si>
    <t xml:space="preserve">16-JGFHeapSortBench                     </t>
  </si>
  <si>
    <t xml:space="preserve">17-JGFLoopBench                         </t>
  </si>
  <si>
    <t xml:space="preserve">18-JGFRayTracerBench                    </t>
  </si>
  <si>
    <t>19-float4x4 matrix mul, Managed Standard</t>
  </si>
  <si>
    <t xml:space="preserve">20-float4x4 matrix mul, Managed unsafe  </t>
  </si>
  <si>
    <t>21-float4x4 matrix mul, Interop Standard</t>
  </si>
  <si>
    <t xml:space="preserve">22-float4x4 matrix mul, Interop SSE2    </t>
  </si>
  <si>
    <t xml:space="preserve">23-managed add                          </t>
  </si>
  <si>
    <t xml:space="preserve">24-managed no-inline add                </t>
  </si>
  <si>
    <t xml:space="preserve">25-interop add                          </t>
  </si>
  <si>
    <t xml:space="preserve">26-interop indirect add                 </t>
  </si>
  <si>
    <t>Not Applicable</t>
  </si>
  <si>
    <t xml:space="preserve">   no-op</t>
  </si>
  <si>
    <t>Higher is Better</t>
  </si>
  <si>
    <t>Higher Is Better</t>
  </si>
  <si>
    <t>Higher is better</t>
  </si>
  <si>
    <t>Name</t>
  </si>
  <si>
    <t>.NET 32 
(Desktop)</t>
  </si>
  <si>
    <t>.NET 32 
(AppStore)</t>
  </si>
  <si>
    <t>.NET Native 32 
(AppStore)</t>
  </si>
  <si>
    <t>.NET 64
 (Desktop)</t>
  </si>
  <si>
    <t>.NET 64
(AppStore)</t>
  </si>
  <si>
    <t>.NET Native 64
(AppStore)</t>
  </si>
  <si>
    <t>.NET 64 RyuJit
(Desktop)</t>
  </si>
  <si>
    <t>not applicable</t>
  </si>
  <si>
    <t>.NET 32 
Native (AppStore)</t>
  </si>
  <si>
    <t>.NET 32 vs 64
Native (AppStore)</t>
  </si>
  <si>
    <t>.NET 64 
Native (AppStore)</t>
  </si>
  <si>
    <t xml:space="preserve">.NET 64 vs 64
RyuJit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</si>
</sst>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2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2" fontId="0" fillId="0" borderId="0" xfId="0" applyNumberFormat="1" applyAlignment="1"/>
  </cellXfs>
  <cellStyles count="1">
    <cellStyle name="Normal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6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1" max="1" width="40.42578125" bestFit="1" customWidth="1"/>
    <col min="2" max="2" width="9.7109375" style="3" bestFit="1" customWidth="1"/>
    <col min="3" max="3" width="10.7109375" style="3" bestFit="1" customWidth="1"/>
    <col min="4" max="4" width="13.7109375" style="3" bestFit="1" customWidth="1"/>
    <col min="5" max="5" width="17.7109375" bestFit="1" customWidth="1"/>
    <col min="6" max="6" width="24.140625" bestFit="1" customWidth="1"/>
    <col min="7" max="7" width="25.28515625" bestFit="1" customWidth="1"/>
  </cols>
  <sheetData>
    <row r="1" spans="1:7" ht="30" x14ac:dyDescent="0.25">
      <c r="A1" s="2" t="s">
        <v>69</v>
      </c>
      <c r="B1" s="6" t="s">
        <v>70</v>
      </c>
      <c r="C1" s="6" t="s">
        <v>71</v>
      </c>
      <c r="D1" s="6" t="s">
        <v>72</v>
      </c>
      <c r="E1" s="2"/>
      <c r="F1" s="2" t="s">
        <v>67</v>
      </c>
      <c r="G1" s="2"/>
    </row>
    <row r="2" spans="1:7" x14ac:dyDescent="0.25">
      <c r="A2" t="str">
        <f>'.NET32'!A2</f>
        <v xml:space="preserve">00-Big int Dictionary: 1 Adding items   </v>
      </c>
      <c r="B2" s="4">
        <f>1</f>
        <v>1</v>
      </c>
      <c r="C2" s="4">
        <f>'.NET32'!$C2/'.NET32Store'!$C2</f>
        <v>0.90196078431372551</v>
      </c>
      <c r="D2" s="4">
        <f>'.NET32'!$C2/'.NET32StoreNative'!$C2</f>
        <v>0.71875</v>
      </c>
    </row>
    <row r="3" spans="1:7" x14ac:dyDescent="0.25">
      <c r="A3" t="str">
        <f>'.NET32'!A3</f>
        <v>00-Big int Dictionary: 2 Running queries</v>
      </c>
      <c r="B3" s="4">
        <f>1</f>
        <v>1</v>
      </c>
      <c r="C3" s="4">
        <f>'.NET32'!$C3/'.NET32Store'!$C3</f>
        <v>0.9565217391304347</v>
      </c>
      <c r="D3" s="4">
        <f>'.NET32'!$C3/'.NET32StoreNative'!$C3</f>
        <v>0.81481481481481477</v>
      </c>
    </row>
    <row r="4" spans="1:7" x14ac:dyDescent="0.25">
      <c r="A4" t="str">
        <f>'.NET32'!A4</f>
        <v xml:space="preserve">00-Big int Dictionary: 3 Removing items </v>
      </c>
      <c r="B4" s="4">
        <f>1</f>
        <v>1</v>
      </c>
      <c r="C4" s="4">
        <f>'.NET32'!$C4/'.NET32Store'!$C4</f>
        <v>0.95833333333333326</v>
      </c>
      <c r="D4" s="4">
        <f>'.NET32'!$C4/'.NET32StoreNative'!$C4</f>
        <v>0.91999999999999993</v>
      </c>
    </row>
    <row r="5" spans="1:7" x14ac:dyDescent="0.25">
      <c r="A5" t="str">
        <f>'.NET32'!A5</f>
        <v>01-Big string Dictionary: 0 Ints to strings</v>
      </c>
      <c r="B5" s="4">
        <f>1</f>
        <v>1</v>
      </c>
      <c r="C5" s="4">
        <f>'.NET32'!$C5/'.NET32Store'!$C5</f>
        <v>0.79051383399209485</v>
      </c>
      <c r="D5" s="4">
        <f>'.NET32'!$C5/'.NET32StoreNative'!$C5</f>
        <v>1.1299435028248588</v>
      </c>
    </row>
    <row r="6" spans="1:7" x14ac:dyDescent="0.25">
      <c r="A6" t="str">
        <f>'.NET32'!A6</f>
        <v>01-Big string Dictionary: 1 Adding/setting</v>
      </c>
      <c r="B6" s="4">
        <f>1</f>
        <v>1</v>
      </c>
      <c r="C6" s="4">
        <f>'.NET32'!$C6/'.NET32Store'!$C6</f>
        <v>0.90542635658914716</v>
      </c>
      <c r="D6" s="4">
        <f>'.NET32'!$C6/'.NET32StoreNative'!$C6</f>
        <v>1.020979020979021</v>
      </c>
    </row>
    <row r="7" spans="1:7" x14ac:dyDescent="0.25">
      <c r="A7" t="str">
        <f>'.NET32'!A7</f>
        <v>01-Big string Dictionary: 2 Running queries</v>
      </c>
      <c r="B7" s="4">
        <f>1</f>
        <v>1</v>
      </c>
      <c r="C7" s="4">
        <f>'.NET32'!$C7/'.NET32Store'!$C7</f>
        <v>0.83333333333333337</v>
      </c>
      <c r="D7" s="4">
        <f>'.NET32'!$C7/'.NET32StoreNative'!$C7</f>
        <v>1.0655737704918034</v>
      </c>
    </row>
    <row r="8" spans="1:7" x14ac:dyDescent="0.25">
      <c r="A8" t="str">
        <f>'.NET32'!A8</f>
        <v>01-Big string Dictionary: 3 Removing items</v>
      </c>
      <c r="B8" s="4">
        <f>1</f>
        <v>1</v>
      </c>
      <c r="C8" s="4">
        <f>'.NET32'!$C8/'.NET32Store'!$C8</f>
        <v>0.85054347826086962</v>
      </c>
      <c r="D8" s="4">
        <f>'.NET32'!$C8/'.NET32StoreNative'!$C8</f>
        <v>1.0538720538720538</v>
      </c>
    </row>
    <row r="9" spans="1:7" x14ac:dyDescent="0.25">
      <c r="A9" t="str">
        <f>'.NET32'!A9</f>
        <v xml:space="preserve">02-Big int sorted map: 1 Adding items   </v>
      </c>
      <c r="B9" s="4">
        <f>1</f>
        <v>1</v>
      </c>
      <c r="C9" s="4">
        <f>'.NET32'!$C9/'.NET32Store'!$C9</f>
        <v>1.0133196721311475</v>
      </c>
      <c r="D9" s="4">
        <f>'.NET32'!$C9/'.NET32StoreNative'!$C9</f>
        <v>0.89259927797833927</v>
      </c>
    </row>
    <row r="10" spans="1:7" x14ac:dyDescent="0.25">
      <c r="A10" t="str">
        <f>'.NET32'!A10</f>
        <v>02-Big int sorted map: 2 Running queries</v>
      </c>
      <c r="B10" s="4">
        <f>1</f>
        <v>1</v>
      </c>
      <c r="C10" s="4">
        <f>'.NET32'!$C10/'.NET32Store'!$C10</f>
        <v>1.0112781954887218</v>
      </c>
      <c r="D10" s="4">
        <f>'.NET32'!$C10/'.NET32StoreNative'!$C10</f>
        <v>0.89966555183946495</v>
      </c>
    </row>
    <row r="11" spans="1:7" x14ac:dyDescent="0.25">
      <c r="A11" t="str">
        <f>'.NET32'!A11</f>
        <v xml:space="preserve">02-Big int sorted map: 3 Removing items </v>
      </c>
      <c r="B11" s="4">
        <f>1</f>
        <v>1</v>
      </c>
      <c r="C11" s="4">
        <f>'.NET32'!$C11/'.NET32Store'!$C11</f>
        <v>1.0106837606837606</v>
      </c>
      <c r="D11" s="4">
        <f>'.NET32'!$C11/'.NET32StoreNative'!$C11</f>
        <v>0.76785714285714279</v>
      </c>
    </row>
    <row r="12" spans="1:7" x14ac:dyDescent="0.25">
      <c r="A12" t="str">
        <f>'.NET32'!A12</f>
        <v xml:space="preserve">03-Square root: double                  </v>
      </c>
      <c r="B12" s="4">
        <f>1</f>
        <v>1</v>
      </c>
      <c r="C12" s="4">
        <f>'.NET32'!$C12/'.NET32Store'!$C12</f>
        <v>1</v>
      </c>
      <c r="D12" s="4">
        <f>'.NET32'!$C12/'.NET32StoreNative'!$C12</f>
        <v>1</v>
      </c>
    </row>
    <row r="13" spans="1:7" x14ac:dyDescent="0.25">
      <c r="A13" t="str">
        <f>'.NET32'!A13</f>
        <v xml:space="preserve">03-Square root: FPL16                   </v>
      </c>
      <c r="B13" s="4">
        <f>1</f>
        <v>1</v>
      </c>
      <c r="C13" s="4">
        <f>'.NET32'!$C13/'.NET32Store'!$C13</f>
        <v>1.0167364016736402</v>
      </c>
      <c r="D13" s="4">
        <f>'.NET32'!$C13/'.NET32StoreNative'!$C13</f>
        <v>0.97199999999999998</v>
      </c>
    </row>
    <row r="14" spans="1:7" x14ac:dyDescent="0.25">
      <c r="A14" t="str">
        <f>'.NET32'!A14</f>
        <v xml:space="preserve">03-Square root: uint                    </v>
      </c>
      <c r="B14" s="4">
        <f>1</f>
        <v>1</v>
      </c>
      <c r="C14" s="4">
        <f>'.NET32'!$C14/'.NET32Store'!$C14</f>
        <v>1.0277777777777779</v>
      </c>
      <c r="D14" s="4">
        <f>'.NET32'!$C14/'.NET32StoreNative'!$C14</f>
        <v>0.97368421052631582</v>
      </c>
    </row>
    <row r="15" spans="1:7" x14ac:dyDescent="0.25">
      <c r="A15" t="str">
        <f>'.NET32'!A15</f>
        <v xml:space="preserve">03-Square root: ulong                   </v>
      </c>
      <c r="B15" s="4">
        <f>1</f>
        <v>1</v>
      </c>
      <c r="C15" s="4">
        <f>'.NET32'!$C15/'.NET32Store'!$C15</f>
        <v>1.0149253731343284</v>
      </c>
      <c r="D15" s="4">
        <f>'.NET32'!$C15/'.NET32StoreNative'!$C15</f>
        <v>0.94444444444444453</v>
      </c>
    </row>
    <row r="16" spans="1:7" x14ac:dyDescent="0.25">
      <c r="A16" t="str">
        <f>'.NET32'!A16</f>
        <v xml:space="preserve">04-Simple arithmetic: double            </v>
      </c>
      <c r="B16" s="4">
        <f>1</f>
        <v>1</v>
      </c>
      <c r="C16" s="4">
        <f>'.NET32'!$C16/'.NET32Store'!$C16</f>
        <v>1.0071428571428569</v>
      </c>
      <c r="D16" s="4">
        <f>'.NET32'!$C16/'.NET32StoreNative'!$C16</f>
        <v>0.5071942446043165</v>
      </c>
    </row>
    <row r="17" spans="1:4" x14ac:dyDescent="0.25">
      <c r="A17" t="str">
        <f>'.NET32'!A17</f>
        <v xml:space="preserve">04-Simple arithmetic: float             </v>
      </c>
      <c r="B17" s="4">
        <f>1</f>
        <v>1</v>
      </c>
      <c r="C17" s="4">
        <f>'.NET32'!$C17/'.NET32Store'!$C17</f>
        <v>1.0101010101010102</v>
      </c>
      <c r="D17" s="4">
        <f>'.NET32'!$C17/'.NET32StoreNative'!$C17</f>
        <v>0.86206896551724144</v>
      </c>
    </row>
    <row r="18" spans="1:4" x14ac:dyDescent="0.25">
      <c r="A18" t="str">
        <f>'.NET32'!A18</f>
        <v xml:space="preserve">04-Simple arithmetic: FPI8              </v>
      </c>
      <c r="B18" s="4">
        <f>1</f>
        <v>1</v>
      </c>
      <c r="C18" s="4">
        <f>'.NET32'!$C18/'.NET32Store'!$C18</f>
        <v>0.98571428571428565</v>
      </c>
      <c r="D18" s="4">
        <f>'.NET32'!$C18/'.NET32StoreNative'!$C18</f>
        <v>1.2321428571428572</v>
      </c>
    </row>
    <row r="19" spans="1:4" x14ac:dyDescent="0.25">
      <c r="A19" t="str">
        <f>'.NET32'!A19</f>
        <v xml:space="preserve">04-Simple arithmetic: FPL16             </v>
      </c>
      <c r="B19" s="4">
        <f>1</f>
        <v>1</v>
      </c>
      <c r="C19" s="4">
        <f>'.NET32'!$C19/'.NET32Store'!$C19</f>
        <v>1.0112994350282487</v>
      </c>
      <c r="D19" s="4">
        <f>'.NET32'!$C19/'.NET32StoreNative'!$C19</f>
        <v>1.5497835497835497</v>
      </c>
    </row>
    <row r="20" spans="1:4" x14ac:dyDescent="0.25">
      <c r="A20" t="str">
        <f>'.NET32'!A20</f>
        <v xml:space="preserve">04-Simple arithmetic: int               </v>
      </c>
      <c r="B20" s="4">
        <f>1</f>
        <v>1</v>
      </c>
      <c r="C20" s="4">
        <f>'.NET32'!$C20/'.NET32Store'!$C20</f>
        <v>1.0178571428571428</v>
      </c>
      <c r="D20" s="4">
        <f>'.NET32'!$C20/'.NET32StoreNative'!$C20</f>
        <v>2.0357142857142856</v>
      </c>
    </row>
    <row r="21" spans="1:4" x14ac:dyDescent="0.25">
      <c r="A21" t="str">
        <f>'.NET32'!A21</f>
        <v xml:space="preserve">04-Simple arithmetic: long              </v>
      </c>
      <c r="B21" s="4">
        <f>1</f>
        <v>1</v>
      </c>
      <c r="C21" s="4">
        <f>'.NET32'!$C21/'.NET32Store'!$C21</f>
        <v>0.98809523809523814</v>
      </c>
      <c r="D21" s="4">
        <f>'.NET32'!$C21/'.NET32StoreNative'!$C21</f>
        <v>0.83417085427135673</v>
      </c>
    </row>
    <row r="22" spans="1:4" x14ac:dyDescent="0.25">
      <c r="A22" t="str">
        <f>'.NET32'!A22</f>
        <v xml:space="preserve">05-Generic sum: double                  </v>
      </c>
      <c r="B22" s="4">
        <f>1</f>
        <v>1</v>
      </c>
      <c r="C22" s="4">
        <f>'.NET32'!$C22/'.NET32Store'!$C22</f>
        <v>1.0077369439071566</v>
      </c>
      <c r="D22" s="4">
        <f>'.NET32'!$C22/'.NET32StoreNative'!$C22</f>
        <v>3.3397435897435899</v>
      </c>
    </row>
    <row r="23" spans="1:4" x14ac:dyDescent="0.25">
      <c r="A23" t="str">
        <f>'.NET32'!A23</f>
        <v xml:space="preserve">05-Generic sum: FPI8                    </v>
      </c>
      <c r="B23" s="4">
        <f>1</f>
        <v>1</v>
      </c>
      <c r="C23" s="4">
        <f>'.NET32'!$C23/'.NET32Store'!$C23</f>
        <v>1.0129032258064516</v>
      </c>
      <c r="D23" s="4">
        <f>'.NET32'!$C23/'.NET32StoreNative'!$C23</f>
        <v>1.2975206611570249</v>
      </c>
    </row>
    <row r="24" spans="1:4" x14ac:dyDescent="0.25">
      <c r="A24" t="str">
        <f>'.NET32'!A24</f>
        <v xml:space="preserve">05-Generic sum: int                     </v>
      </c>
      <c r="B24" s="4">
        <f>1</f>
        <v>1</v>
      </c>
      <c r="C24" s="4">
        <f>'.NET32'!$C24/'.NET32Store'!$C24</f>
        <v>1.0089285714285714</v>
      </c>
      <c r="D24" s="4">
        <f>'.NET32'!$C24/'.NET32StoreNative'!$C24</f>
        <v>0.92622950819672134</v>
      </c>
    </row>
    <row r="25" spans="1:4" x14ac:dyDescent="0.25">
      <c r="A25" t="str">
        <f>'.NET32'!A25</f>
        <v xml:space="preserve">05-Generic sum: int via IMath           </v>
      </c>
      <c r="B25" s="4">
        <f>1</f>
        <v>1</v>
      </c>
      <c r="C25" s="4">
        <f>'.NET32'!$C25/'.NET32Store'!$C25</f>
        <v>1.0080515297906603</v>
      </c>
      <c r="D25" s="4">
        <f>'.NET32'!$C25/'.NET32StoreNative'!$C25</f>
        <v>0.56600361663652798</v>
      </c>
    </row>
    <row r="26" spans="1:4" x14ac:dyDescent="0.25">
      <c r="A26" t="str">
        <f>'.NET32'!A26</f>
        <v xml:space="preserve">05-Generic sum: int without generics    </v>
      </c>
      <c r="B26" s="4">
        <f>1</f>
        <v>1</v>
      </c>
      <c r="C26" s="4">
        <f>'.NET32'!$C26/'.NET32Store'!$C26</f>
        <v>1</v>
      </c>
      <c r="D26" s="4">
        <f>'.NET32'!$C26/'.NET32StoreNative'!$C26</f>
        <v>1.0970873786407769</v>
      </c>
    </row>
    <row r="27" spans="1:4" x14ac:dyDescent="0.25">
      <c r="A27" t="str">
        <f>'.NET32'!A27</f>
        <v xml:space="preserve">06-Simple parsing: 3 Parse (x1000000)   </v>
      </c>
      <c r="B27" s="4">
        <f>1</f>
        <v>1</v>
      </c>
      <c r="C27" s="4">
        <f>'.NET32'!$C27/'.NET32Store'!$C27</f>
        <v>1</v>
      </c>
      <c r="D27" s="4">
        <f>'.NET32'!$C27/'.NET32StoreNative'!$C27</f>
        <v>1</v>
      </c>
    </row>
    <row r="28" spans="1:4" x14ac:dyDescent="0.25">
      <c r="A28" t="str">
        <f>'.NET32'!A28</f>
        <v xml:space="preserve">06-Simple parsing: 4 Sort (x1000000)    </v>
      </c>
      <c r="B28" s="4">
        <f>1</f>
        <v>1</v>
      </c>
      <c r="C28" s="4">
        <f>'.NET32'!$C28/'.NET32Store'!$C28</f>
        <v>1</v>
      </c>
      <c r="D28" s="4">
        <f>'.NET32'!$C28/'.NET32StoreNative'!$C28</f>
        <v>1.0943396226415094</v>
      </c>
    </row>
    <row r="29" spans="1:4" x14ac:dyDescent="0.25">
      <c r="A29" t="str">
        <f>'.NET32'!A29</f>
        <v xml:space="preserve">07-Trivial method calls: Interface NoOp </v>
      </c>
      <c r="B29" s="4">
        <f>1</f>
        <v>1</v>
      </c>
      <c r="C29" s="4">
        <f>'.NET32'!$C29/'.NET32Store'!$C29</f>
        <v>1</v>
      </c>
      <c r="D29" s="4">
        <f>'.NET32'!$C29/'.NET32StoreNative'!$C29</f>
        <v>0.70588235294117652</v>
      </c>
    </row>
    <row r="30" spans="1:4" x14ac:dyDescent="0.25">
      <c r="A30" t="str">
        <f>'.NET32'!A30</f>
        <v xml:space="preserve">07-Trivial method calls: No-inline NoOp </v>
      </c>
      <c r="B30" s="4">
        <f>1</f>
        <v>1</v>
      </c>
      <c r="C30" s="4">
        <f>'.NET32'!$C30/'.NET32Store'!$C30</f>
        <v>1</v>
      </c>
      <c r="D30" s="4">
        <f>'.NET32'!$C30/'.NET32StoreNative'!$C30</f>
        <v>1.0333333333333334</v>
      </c>
    </row>
    <row r="31" spans="1:4" x14ac:dyDescent="0.25">
      <c r="A31" t="str">
        <f>'.NET32'!A31</f>
        <v xml:space="preserve">07-Trivial method calls: Static NoOp    </v>
      </c>
      <c r="B31" s="4">
        <f>1</f>
        <v>1</v>
      </c>
      <c r="C31" s="4">
        <f>'.NET32'!$C31/'.NET32Store'!$C31</f>
        <v>1</v>
      </c>
      <c r="D31" s="4" t="s">
        <v>65</v>
      </c>
    </row>
    <row r="32" spans="1:4" x14ac:dyDescent="0.25">
      <c r="A32" t="str">
        <f>'.NET32'!A32</f>
        <v xml:space="preserve">07-Trivial method calls: Virtual NoOp   </v>
      </c>
      <c r="B32" s="4">
        <f>1</f>
        <v>1</v>
      </c>
      <c r="C32" s="4">
        <f>'.NET32'!$C32/'.NET32Store'!$C32</f>
        <v>1.1071428571428572</v>
      </c>
      <c r="D32" s="4">
        <f>'.NET32'!$C32/'.NET32StoreNative'!$C32</f>
        <v>1.0689655172413792</v>
      </c>
    </row>
    <row r="33" spans="1:4" x14ac:dyDescent="0.25">
      <c r="A33" t="str">
        <f>'.NET32'!A33</f>
        <v xml:space="preserve">08-Matrix multiply: &lt;double&gt;[n][n]      </v>
      </c>
      <c r="B33" s="4">
        <f>1</f>
        <v>1</v>
      </c>
      <c r="C33" s="4">
        <f>'.NET32'!$C33/'.NET32Store'!$C33</f>
        <v>1.0018811136192625</v>
      </c>
      <c r="D33" s="4">
        <f>'.NET32'!$C33/'.NET32StoreNative'!$C33</f>
        <v>2.4341864716636192</v>
      </c>
    </row>
    <row r="34" spans="1:4" x14ac:dyDescent="0.25">
      <c r="A34" t="str">
        <f>'.NET32'!A34</f>
        <v xml:space="preserve">08-Matrix multiply: &lt;float&gt;[n][n]       </v>
      </c>
      <c r="B34" s="4">
        <f>1</f>
        <v>1</v>
      </c>
      <c r="C34" s="4">
        <f>'.NET32'!$C34/'.NET32Store'!$C34</f>
        <v>1.0027163368257663</v>
      </c>
      <c r="D34" s="4">
        <f>'.NET32'!$C34/'.NET32StoreNative'!$C34</f>
        <v>2.6777202072538864</v>
      </c>
    </row>
    <row r="35" spans="1:4" x14ac:dyDescent="0.25">
      <c r="A35" t="str">
        <f>'.NET32'!A35</f>
        <v xml:space="preserve">08-Matrix multiply: &lt;int&gt;[n][n]         </v>
      </c>
      <c r="B35" s="4">
        <f>1</f>
        <v>1</v>
      </c>
      <c r="C35" s="4">
        <f>'.NET32'!$C35/'.NET32Store'!$C35</f>
        <v>0.94906832298136645</v>
      </c>
      <c r="D35" s="4">
        <f>'.NET32'!$C35/'.NET32StoreNative'!$C35</f>
        <v>0.58769230769230774</v>
      </c>
    </row>
    <row r="36" spans="1:4" x14ac:dyDescent="0.25">
      <c r="A36" t="str">
        <f>'.NET32'!A36</f>
        <v xml:space="preserve">08-Matrix multiply: Array2D&lt;double&gt;     </v>
      </c>
      <c r="B36" s="4">
        <f>1</f>
        <v>1</v>
      </c>
      <c r="C36" s="4">
        <f>'.NET32'!$C36/'.NET32Store'!$C36</f>
        <v>1.0057189542483662</v>
      </c>
      <c r="D36" s="4">
        <f>'.NET32'!$C36/'.NET32StoreNative'!$C36</f>
        <v>0.64450261780104723</v>
      </c>
    </row>
    <row r="37" spans="1:4" x14ac:dyDescent="0.25">
      <c r="A37" t="str">
        <f>'.NET32'!A37</f>
        <v xml:space="preserve">08-Matrix multiply: double[n*n]         </v>
      </c>
      <c r="B37" s="4">
        <f>1</f>
        <v>1</v>
      </c>
      <c r="C37" s="4">
        <f>'.NET32'!$C37/'.NET32Store'!$C37</f>
        <v>1.0110701107011071</v>
      </c>
      <c r="D37" s="4">
        <f>'.NET32'!$C37/'.NET32StoreNative'!$C37</f>
        <v>0.78360343183984749</v>
      </c>
    </row>
    <row r="38" spans="1:4" x14ac:dyDescent="0.25">
      <c r="A38" t="str">
        <f>'.NET32'!A38</f>
        <v xml:space="preserve">08-Matrix multiply: double[n][n]        </v>
      </c>
      <c r="B38" s="4">
        <f>1</f>
        <v>1</v>
      </c>
      <c r="C38" s="4">
        <f>'.NET32'!$C38/'.NET32Store'!$C38</f>
        <v>1.0102505694760819</v>
      </c>
      <c r="D38" s="4">
        <f>'.NET32'!$C38/'.NET32StoreNative'!$C38</f>
        <v>1.0350058343057176</v>
      </c>
    </row>
    <row r="39" spans="1:4" x14ac:dyDescent="0.25">
      <c r="A39" t="str">
        <f>'.NET32'!A39</f>
        <v xml:space="preserve">08-Matrix multiply: int[n][n]           </v>
      </c>
      <c r="B39" s="4">
        <f>1</f>
        <v>1</v>
      </c>
      <c r="C39" s="4">
        <f>'.NET32'!$C39/'.NET32Store'!$C39</f>
        <v>1</v>
      </c>
      <c r="D39" s="4">
        <f>'.NET32'!$C39/'.NET32StoreNative'!$C39</f>
        <v>1.210607225211376</v>
      </c>
    </row>
    <row r="40" spans="1:4" x14ac:dyDescent="0.25">
      <c r="A40" t="str">
        <f>'.NET32'!A40</f>
        <v xml:space="preserve">09-Sudoku                               </v>
      </c>
      <c r="B40" s="4">
        <f>1</f>
        <v>1</v>
      </c>
      <c r="C40" s="4">
        <f>'.NET32'!$C40/'.NET32Store'!$C40</f>
        <v>0.9985673352435529</v>
      </c>
      <c r="D40" s="4">
        <f>'.NET32'!$C40/'.NET32StoreNative'!$C40</f>
        <v>1.0447537473233404</v>
      </c>
    </row>
    <row r="41" spans="1:4" x14ac:dyDescent="0.25">
      <c r="A41" t="str">
        <f>'.NET32'!A41</f>
        <v xml:space="preserve">10-Polynomials                          </v>
      </c>
      <c r="B41" s="4">
        <f>1</f>
        <v>1</v>
      </c>
      <c r="C41" s="4">
        <f>'.NET32'!$C41/'.NET32Store'!$C41</f>
        <v>1.0010245901639345</v>
      </c>
      <c r="D41" s="4">
        <f>'.NET32'!$C41/'.NET32StoreNative'!$C41</f>
        <v>1.029504741833509</v>
      </c>
    </row>
    <row r="42" spans="1:4" x14ac:dyDescent="0.25">
      <c r="A42" t="str">
        <f>'.NET32'!A42</f>
        <v xml:space="preserve">11-JGFArithBench                        </v>
      </c>
      <c r="B42" s="4">
        <f>1</f>
        <v>1</v>
      </c>
      <c r="C42" s="4">
        <f>'.NET32'!$C42/'.NET32Store'!$C42</f>
        <v>0.99753542821934693</v>
      </c>
      <c r="D42" s="4">
        <f>'.NET32'!$C42/'.NET32StoreNative'!$C42</f>
        <v>23.808823529411764</v>
      </c>
    </row>
    <row r="43" spans="1:4" x14ac:dyDescent="0.25">
      <c r="A43" t="str">
        <f>'.NET32'!A43</f>
        <v xml:space="preserve">12-JGFAssignBench                       </v>
      </c>
      <c r="B43" s="4">
        <f>1</f>
        <v>1</v>
      </c>
      <c r="C43" s="4">
        <f>'.NET32'!$C43/'.NET32Store'!$C43</f>
        <v>0.79915254237288136</v>
      </c>
      <c r="D43" s="4">
        <f>'.NET32'!$C43/'.NET32StoreNative'!$C43</f>
        <v>1.2043422733077904</v>
      </c>
    </row>
    <row r="44" spans="1:4" x14ac:dyDescent="0.25">
      <c r="A44" t="str">
        <f>'.NET32'!A44</f>
        <v xml:space="preserve">13-JGFCastBench                         </v>
      </c>
      <c r="B44" s="4">
        <f>1</f>
        <v>1</v>
      </c>
      <c r="C44" s="4">
        <f>'.NET32'!$C44/'.NET32Store'!$C44</f>
        <v>0.99938987187309325</v>
      </c>
      <c r="D44" s="4">
        <f>'.NET32'!$C44/'.NET32StoreNative'!$C44</f>
        <v>1.2747081712062256</v>
      </c>
    </row>
    <row r="45" spans="1:4" x14ac:dyDescent="0.25">
      <c r="A45" t="str">
        <f>'.NET32'!A45</f>
        <v xml:space="preserve">14-JGFCreateBench                       </v>
      </c>
      <c r="B45" s="4">
        <f>1</f>
        <v>1</v>
      </c>
      <c r="C45" s="4">
        <f>'.NET32'!$C45/'.NET32Store'!$C45</f>
        <v>0.97908745247148288</v>
      </c>
      <c r="D45" s="4">
        <f>'.NET32'!$C45/'.NET32StoreNative'!$C45</f>
        <v>0.8129439621152329</v>
      </c>
    </row>
    <row r="46" spans="1:4" x14ac:dyDescent="0.25">
      <c r="A46" t="str">
        <f>'.NET32'!A46</f>
        <v xml:space="preserve">15-JGFFFTBench                          </v>
      </c>
      <c r="B46" s="4">
        <f>1</f>
        <v>1</v>
      </c>
      <c r="C46" s="4">
        <f>'.NET32'!$C46/'.NET32Store'!$C46</f>
        <v>1.0124345549738218</v>
      </c>
      <c r="D46" s="4">
        <f>'.NET32'!$C46/'.NET32StoreNative'!$C46</f>
        <v>0.99421593830334187</v>
      </c>
    </row>
    <row r="47" spans="1:4" x14ac:dyDescent="0.25">
      <c r="A47" t="str">
        <f>'.NET32'!A47</f>
        <v xml:space="preserve">16-JGFHeapSortBench                     </v>
      </c>
      <c r="B47" s="4">
        <f>1</f>
        <v>1</v>
      </c>
      <c r="C47" s="4">
        <f>'.NET32'!$C47/'.NET32Store'!$C47</f>
        <v>0.99369936993699381</v>
      </c>
      <c r="D47" s="4">
        <f>'.NET32'!$C47/'.NET32StoreNative'!$C47</f>
        <v>1.0128440366972478</v>
      </c>
    </row>
    <row r="48" spans="1:4" x14ac:dyDescent="0.25">
      <c r="A48" t="str">
        <f>'.NET32'!A48</f>
        <v xml:space="preserve">17-JGFLoopBench                         </v>
      </c>
      <c r="B48" s="4">
        <f>1</f>
        <v>1</v>
      </c>
      <c r="C48" s="4">
        <f>'.NET32'!$C48/'.NET32Store'!$C48</f>
        <v>1.0037128712871286</v>
      </c>
      <c r="D48" s="4">
        <f>'.NET32'!$C48/'.NET32StoreNative'!$C48</f>
        <v>1.0384122919334187</v>
      </c>
    </row>
    <row r="49" spans="1:4" x14ac:dyDescent="0.25">
      <c r="A49" t="str">
        <f>'.NET32'!A49</f>
        <v xml:space="preserve">18-JGFRayTracerBench                    </v>
      </c>
      <c r="B49" s="4">
        <f>1</f>
        <v>1</v>
      </c>
      <c r="C49" s="4">
        <f>'.NET32'!$C49/'.NET32Store'!$C49</f>
        <v>0.97863599013968772</v>
      </c>
      <c r="D49" s="4">
        <f>'.NET32'!$C49/'.NET32StoreNative'!$C49</f>
        <v>0.88353115727002962</v>
      </c>
    </row>
    <row r="50" spans="1:4" x14ac:dyDescent="0.25">
      <c r="A50" t="str">
        <f>'.NET32'!A50</f>
        <v>19-float4x4 matrix mul, Managed Standard</v>
      </c>
      <c r="B50" s="4">
        <f>1</f>
        <v>1</v>
      </c>
      <c r="C50" s="4">
        <f>'.NET32'!$C50/'.NET32Store'!$C50</f>
        <v>1.0013850415512466</v>
      </c>
      <c r="D50" s="4">
        <f>'.NET32'!$C50/'.NET32StoreNative'!$C50</f>
        <v>0.63089005235602102</v>
      </c>
    </row>
    <row r="51" spans="1:4" x14ac:dyDescent="0.25">
      <c r="A51" t="str">
        <f>'.NET32'!A51</f>
        <v xml:space="preserve">20-float4x4 matrix mul, Managed unsafe  </v>
      </c>
      <c r="B51" s="4">
        <f>1</f>
        <v>1</v>
      </c>
      <c r="C51" s="4">
        <f>'.NET32'!$C51/'.NET32Store'!$C51</f>
        <v>1.0090361445783134</v>
      </c>
      <c r="D51" s="4">
        <f>'.NET32'!$C51/'.NET32StoreNative'!$C51</f>
        <v>0.95851216022889851</v>
      </c>
    </row>
    <row r="52" spans="1:4" x14ac:dyDescent="0.25">
      <c r="A52" t="str">
        <f>'.NET32'!A52</f>
        <v>21-float4x4 matrix mul, Interop Standard</v>
      </c>
      <c r="B52" s="4">
        <f>1</f>
        <v>1</v>
      </c>
      <c r="C52" s="4">
        <f>'.NET32'!$C52/'.NET32Store'!$C52</f>
        <v>1.2303172737955346</v>
      </c>
      <c r="D52" s="4">
        <f>'.NET32'!$C52/'.NET32StoreNative'!$C52</f>
        <v>1.4206241519674354</v>
      </c>
    </row>
    <row r="53" spans="1:4" x14ac:dyDescent="0.25">
      <c r="A53" t="str">
        <f>'.NET32'!A53</f>
        <v xml:space="preserve">22-float4x4 matrix mul, Interop SSE2    </v>
      </c>
      <c r="B53" s="4">
        <f>1</f>
        <v>1</v>
      </c>
      <c r="C53" s="4">
        <f>'.NET32'!$C53/'.NET32Store'!$C53</f>
        <v>1.3608870967741937</v>
      </c>
      <c r="D53" s="4">
        <f>'.NET32'!$C53/'.NET32StoreNative'!$C53</f>
        <v>1.8243243243243246</v>
      </c>
    </row>
    <row r="54" spans="1:4" x14ac:dyDescent="0.25">
      <c r="A54" t="str">
        <f>'.NET32'!A54</f>
        <v xml:space="preserve">23-managed add                          </v>
      </c>
      <c r="B54" s="4">
        <f>1</f>
        <v>1</v>
      </c>
      <c r="C54" s="4">
        <f>'.NET32'!$C54/'.NET32Store'!$C54</f>
        <v>1.0120481927710843</v>
      </c>
      <c r="D54" s="4">
        <f>'.NET32'!$C54/'.NET32StoreNative'!$C54</f>
        <v>7</v>
      </c>
    </row>
    <row r="55" spans="1:4" x14ac:dyDescent="0.25">
      <c r="A55" t="str">
        <f>'.NET32'!A55</f>
        <v xml:space="preserve">24-managed no-inline add                </v>
      </c>
      <c r="B55" s="4">
        <f>1</f>
        <v>1</v>
      </c>
      <c r="C55" s="4">
        <f>'.NET32'!$C55/'.NET32Store'!$C55</f>
        <v>1</v>
      </c>
      <c r="D55" s="4">
        <f>'.NET32'!$C55/'.NET32StoreNative'!$C55</f>
        <v>1.0999999999999999</v>
      </c>
    </row>
    <row r="56" spans="1:4" x14ac:dyDescent="0.25">
      <c r="A56" t="str">
        <f>'.NET32'!A56</f>
        <v xml:space="preserve">25-interop add                          </v>
      </c>
      <c r="B56" s="4">
        <f>1</f>
        <v>1</v>
      </c>
      <c r="C56" s="4">
        <f>'.NET32'!$C56/'.NET32Store'!$C56</f>
        <v>1.0119047619047619</v>
      </c>
      <c r="D56" s="4">
        <f>'.NET32'!$C56/'.NET32StoreNative'!$C56</f>
        <v>1.2056737588652484</v>
      </c>
    </row>
    <row r="57" spans="1:4" x14ac:dyDescent="0.25">
      <c r="A57" t="str">
        <f>'.NET32'!A57</f>
        <v xml:space="preserve">26-interop indirect add                 </v>
      </c>
      <c r="B57" s="4">
        <f>1</f>
        <v>1</v>
      </c>
      <c r="C57" s="4">
        <f>'.NET32'!$C57/'.NET32Store'!$C57</f>
        <v>0.99686520376175547</v>
      </c>
      <c r="D57" s="4">
        <f>'.NET32'!$C57/'.NET32StoreNative'!$C57</f>
        <v>2.2553191489361706</v>
      </c>
    </row>
    <row r="60" spans="1:4" x14ac:dyDescent="0.25">
      <c r="D60" s="8">
        <f>AVERAGE(D2:D57)</f>
        <v>1.6581291940007576</v>
      </c>
    </row>
  </sheetData>
  <conditionalFormatting sqref="C1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5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5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5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5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5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5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5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5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5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5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5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5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5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5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5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5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5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5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5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5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5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5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5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5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5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5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5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5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5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P5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:AQ5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:AR5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:AS5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:AT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5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:AV5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:AW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:AX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Y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:AZ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:BA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:BB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1:BC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1:BD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1:BE5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1:BF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1:BG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5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5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5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5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5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5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5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5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5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5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5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5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5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5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5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5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5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5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P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:AQ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:AR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:AS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58:F58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58:G5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0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1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2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8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9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0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1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4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6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7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8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9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0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1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2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3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4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6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8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9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0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1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4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1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2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3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4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5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58:E58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8:E5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D57">
    <cfRule type="cellIs" dxfId="13" priority="9" operator="lessThanOrEqual">
      <formula>0.9</formula>
    </cfRule>
    <cfRule type="cellIs" dxfId="12" priority="10" operator="greaterThanOrEqual">
      <formula>1.1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G5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39" bestFit="1" customWidth="1"/>
    <col min="2" max="2" width="10.140625" bestFit="1" customWidth="1"/>
    <col min="3" max="3" width="10.7109375" bestFit="1" customWidth="1"/>
    <col min="4" max="4" width="14.140625" bestFit="1" customWidth="1"/>
    <col min="5" max="5" width="13.140625" bestFit="1" customWidth="1"/>
  </cols>
  <sheetData>
    <row r="1" spans="1:7" ht="30" x14ac:dyDescent="0.25">
      <c r="A1" s="2" t="s">
        <v>69</v>
      </c>
      <c r="B1" s="5" t="s">
        <v>73</v>
      </c>
      <c r="C1" s="5" t="s">
        <v>74</v>
      </c>
      <c r="D1" s="5" t="s">
        <v>75</v>
      </c>
      <c r="E1" s="5" t="s">
        <v>76</v>
      </c>
      <c r="G1" t="s">
        <v>66</v>
      </c>
    </row>
    <row r="2" spans="1:7" x14ac:dyDescent="0.25">
      <c r="A2" t="str">
        <f>'.NET32'!A2</f>
        <v xml:space="preserve">00-Big int Dictionary: 1 Adding items   </v>
      </c>
      <c r="B2" s="4">
        <f>1</f>
        <v>1</v>
      </c>
      <c r="C2" s="4">
        <f>'.NET64'!$C2/'.NET64Store'!$C2</f>
        <v>1.0425531914893618</v>
      </c>
      <c r="D2" s="4">
        <f>'.NET64'!$C2/'.NET64StoreNative'!$C2</f>
        <v>1</v>
      </c>
      <c r="E2" s="4">
        <f>'.NET64'!$C2/'.NET64RyuJit'!$C2</f>
        <v>1.0208333333333333</v>
      </c>
    </row>
    <row r="3" spans="1:7" x14ac:dyDescent="0.25">
      <c r="A3" t="str">
        <f>'.NET32'!A3</f>
        <v>00-Big int Dictionary: 2 Running queries</v>
      </c>
      <c r="B3" s="4">
        <f>1</f>
        <v>1</v>
      </c>
      <c r="C3" s="4">
        <f>'.NET64'!$C3/'.NET64Store'!$C3</f>
        <v>0.90909090909090917</v>
      </c>
      <c r="D3" s="4">
        <f>'.NET64'!$C3/'.NET64StoreNative'!$C3</f>
        <v>1</v>
      </c>
      <c r="E3" s="4">
        <f>'.NET64'!$C3/'.NET64RyuJit'!$C3</f>
        <v>0.95238095238095233</v>
      </c>
    </row>
    <row r="4" spans="1:7" x14ac:dyDescent="0.25">
      <c r="A4" t="str">
        <f>'.NET32'!A4</f>
        <v xml:space="preserve">00-Big int Dictionary: 3 Removing items </v>
      </c>
      <c r="B4" s="4">
        <f>1</f>
        <v>1</v>
      </c>
      <c r="C4" s="4">
        <f>'.NET64'!$C4/'.NET64Store'!$C4</f>
        <v>1</v>
      </c>
      <c r="D4" s="4">
        <f>'.NET64'!$C4/'.NET64StoreNative'!$C4</f>
        <v>0.95238095238095233</v>
      </c>
      <c r="E4" s="4">
        <f>'.NET64'!$C4/'.NET64RyuJit'!$C4</f>
        <v>0.95238095238095233</v>
      </c>
    </row>
    <row r="5" spans="1:7" x14ac:dyDescent="0.25">
      <c r="A5" t="str">
        <f>'.NET32'!A5</f>
        <v>01-Big string Dictionary: 0 Ints to strings</v>
      </c>
      <c r="B5" s="4">
        <f>1</f>
        <v>1</v>
      </c>
      <c r="C5" s="4">
        <f>'.NET64'!$C5/'.NET64Store'!$C5</f>
        <v>0.68902439024390238</v>
      </c>
      <c r="D5" s="4">
        <f>'.NET64'!$C5/'.NET64StoreNative'!$C5</f>
        <v>0.72435897435897434</v>
      </c>
      <c r="E5" s="4">
        <f>'.NET64'!$C5/'.NET64RyuJit'!$C5</f>
        <v>1</v>
      </c>
    </row>
    <row r="6" spans="1:7" x14ac:dyDescent="0.25">
      <c r="A6" t="str">
        <f>'.NET32'!A6</f>
        <v>01-Big string Dictionary: 1 Adding/setting</v>
      </c>
      <c r="B6" s="4">
        <f>1</f>
        <v>1</v>
      </c>
      <c r="C6" s="4">
        <f>'.NET64'!$C6/'.NET64Store'!$C6</f>
        <v>0.8501070663811563</v>
      </c>
      <c r="D6" s="4">
        <f>'.NET64'!$C6/'.NET64StoreNative'!$C6</f>
        <v>0.84468085106382984</v>
      </c>
      <c r="E6" s="4">
        <f>'.NET64'!$C6/'.NET64RyuJit'!$C6</f>
        <v>0.99250000000000005</v>
      </c>
    </row>
    <row r="7" spans="1:7" x14ac:dyDescent="0.25">
      <c r="A7" t="str">
        <f>'.NET32'!A7</f>
        <v>01-Big string Dictionary: 2 Running queries</v>
      </c>
      <c r="B7" s="4">
        <f>1</f>
        <v>1</v>
      </c>
      <c r="C7" s="4">
        <f>'.NET64'!$C7/'.NET64Store'!$C7</f>
        <v>0.81944444444444442</v>
      </c>
      <c r="D7" s="4">
        <f>'.NET64'!$C7/'.NET64StoreNative'!$C7</f>
        <v>0.90421455938697315</v>
      </c>
      <c r="E7" s="4">
        <f>'.NET64'!$C7/'.NET64RyuJit'!$C7</f>
        <v>0.95161290322580638</v>
      </c>
    </row>
    <row r="8" spans="1:7" x14ac:dyDescent="0.25">
      <c r="A8" t="str">
        <f>'.NET32'!A8</f>
        <v>01-Big string Dictionary: 3 Removing items</v>
      </c>
      <c r="B8" s="4">
        <f>1</f>
        <v>1</v>
      </c>
      <c r="C8" s="4">
        <f>'.NET64'!$C8/'.NET64Store'!$C8</f>
        <v>0.80756013745704469</v>
      </c>
      <c r="D8" s="4">
        <f>'.NET64'!$C8/'.NET64StoreNative'!$C8</f>
        <v>0.91439688715953304</v>
      </c>
      <c r="E8" s="4">
        <f>'.NET64'!$C8/'.NET64RyuJit'!$C8</f>
        <v>1.0042735042735043</v>
      </c>
    </row>
    <row r="9" spans="1:7" x14ac:dyDescent="0.25">
      <c r="A9" t="str">
        <f>'.NET32'!A9</f>
        <v xml:space="preserve">02-Big int sorted map: 1 Adding items   </v>
      </c>
      <c r="B9" s="4">
        <f>1</f>
        <v>1</v>
      </c>
      <c r="C9" s="4">
        <f>'.NET64'!$C9/'.NET64Store'!$C9</f>
        <v>0.97824335213537461</v>
      </c>
      <c r="D9" s="4">
        <f>'.NET64'!$C9/'.NET64StoreNative'!$C9</f>
        <v>1.1046405823475887</v>
      </c>
      <c r="E9" s="4">
        <f>'.NET64'!$C9/'.NET64RyuJit'!$C9</f>
        <v>1.0393835616438356</v>
      </c>
    </row>
    <row r="10" spans="1:7" x14ac:dyDescent="0.25">
      <c r="A10" t="str">
        <f>'.NET32'!A10</f>
        <v>02-Big int sorted map: 2 Running queries</v>
      </c>
      <c r="B10" s="4">
        <f>1</f>
        <v>1</v>
      </c>
      <c r="C10" s="4">
        <f>'.NET64'!$C10/'.NET64Store'!$C10</f>
        <v>1.0191693290734825</v>
      </c>
      <c r="D10" s="4">
        <f>'.NET64'!$C10/'.NET64StoreNative'!$C10</f>
        <v>1.0598006644518272</v>
      </c>
      <c r="E10" s="4">
        <f>'.NET64'!$C10/'.NET64RyuJit'!$C10</f>
        <v>0.96960486322188444</v>
      </c>
    </row>
    <row r="11" spans="1:7" x14ac:dyDescent="0.25">
      <c r="A11" t="str">
        <f>'.NET32'!A11</f>
        <v xml:space="preserve">02-Big int sorted map: 3 Removing items </v>
      </c>
      <c r="B11" s="4">
        <f>1</f>
        <v>1</v>
      </c>
      <c r="C11" s="4">
        <f>'.NET64'!$C11/'.NET64Store'!$C11</f>
        <v>1.0076923076923077</v>
      </c>
      <c r="D11" s="4">
        <f>'.NET64'!$C11/'.NET64StoreNative'!$C11</f>
        <v>1.0170807453416149</v>
      </c>
      <c r="E11" s="4">
        <f>'.NET64'!$C11/'.NET64RyuJit'!$C11</f>
        <v>1.1613475177304966</v>
      </c>
    </row>
    <row r="12" spans="1:7" x14ac:dyDescent="0.25">
      <c r="A12" t="str">
        <f>'.NET32'!A12</f>
        <v xml:space="preserve">03-Square root: double                  </v>
      </c>
      <c r="B12" s="4">
        <f>1</f>
        <v>1</v>
      </c>
      <c r="C12" s="4">
        <f>'.NET64'!$C12/'.NET64Store'!$C12</f>
        <v>1</v>
      </c>
      <c r="D12" s="4">
        <f>'.NET64'!$C12/'.NET64StoreNative'!$C12</f>
        <v>1</v>
      </c>
      <c r="E12" s="4">
        <f>'.NET64'!$C12/'.NET64RyuJit'!$C12</f>
        <v>1</v>
      </c>
    </row>
    <row r="13" spans="1:7" x14ac:dyDescent="0.25">
      <c r="A13" t="str">
        <f>'.NET32'!A13</f>
        <v xml:space="preserve">03-Square root: FPL16                   </v>
      </c>
      <c r="B13" s="4">
        <f>1</f>
        <v>1</v>
      </c>
      <c r="C13" s="4">
        <f>'.NET64'!$C13/'.NET64Store'!$C13</f>
        <v>1.0073529411764706</v>
      </c>
      <c r="D13" s="4">
        <f>'.NET64'!$C13/'.NET64StoreNative'!$C13</f>
        <v>1.1512605042016808</v>
      </c>
      <c r="E13" s="4">
        <f>'.NET64'!$C13/'.NET64RyuJit'!$C13</f>
        <v>1.0300751879699248</v>
      </c>
    </row>
    <row r="14" spans="1:7" x14ac:dyDescent="0.25">
      <c r="A14" t="str">
        <f>'.NET32'!A14</f>
        <v xml:space="preserve">03-Square root: uint                    </v>
      </c>
      <c r="B14" s="4">
        <f>1</f>
        <v>1</v>
      </c>
      <c r="C14" s="4">
        <f>'.NET64'!$C14/'.NET64Store'!$C14</f>
        <v>1</v>
      </c>
      <c r="D14" s="4">
        <f>'.NET64'!$C14/'.NET64StoreNative'!$C14</f>
        <v>0.97058823529411764</v>
      </c>
      <c r="E14" s="4">
        <f>'.NET64'!$C14/'.NET64RyuJit'!$C14</f>
        <v>0.94285714285714284</v>
      </c>
    </row>
    <row r="15" spans="1:7" x14ac:dyDescent="0.25">
      <c r="A15" t="str">
        <f>'.NET32'!A15</f>
        <v xml:space="preserve">03-Square root: ulong                   </v>
      </c>
      <c r="B15" s="4">
        <f>1</f>
        <v>1</v>
      </c>
      <c r="C15" s="4">
        <f>'.NET64'!$C15/'.NET64Store'!$C15</f>
        <v>1</v>
      </c>
      <c r="D15" s="4">
        <f>'.NET64'!$C15/'.NET64StoreNative'!$C15</f>
        <v>1.1470588235294117</v>
      </c>
      <c r="E15" s="4">
        <f>'.NET64'!$C15/'.NET64RyuJit'!$C15</f>
        <v>0.95121951219512191</v>
      </c>
    </row>
    <row r="16" spans="1:7" x14ac:dyDescent="0.25">
      <c r="A16" t="str">
        <f>'.NET32'!A16</f>
        <v xml:space="preserve">04-Simple arithmetic: double            </v>
      </c>
      <c r="B16" s="4">
        <f>1</f>
        <v>1</v>
      </c>
      <c r="C16" s="4">
        <f>'.NET64'!$C16/'.NET64Store'!$C16</f>
        <v>1.0035650623885917</v>
      </c>
      <c r="D16" s="4">
        <f>'.NET64'!$C16/'.NET64StoreNative'!$C16</f>
        <v>4.201492537313432</v>
      </c>
      <c r="E16" s="4">
        <f>'.NET64'!$C16/'.NET64RyuJit'!$C16</f>
        <v>1.1039215686274508</v>
      </c>
    </row>
    <row r="17" spans="1:5" x14ac:dyDescent="0.25">
      <c r="A17" t="str">
        <f>'.NET32'!A17</f>
        <v xml:space="preserve">04-Simple arithmetic: float             </v>
      </c>
      <c r="B17" s="4">
        <f>1</f>
        <v>1</v>
      </c>
      <c r="C17" s="4">
        <f>'.NET64'!$C17/'.NET64Store'!$C17</f>
        <v>1</v>
      </c>
      <c r="D17" s="4">
        <f>'.NET64'!$C17/'.NET64StoreNative'!$C17</f>
        <v>1.3614457831325302</v>
      </c>
      <c r="E17" s="4">
        <f>'.NET64'!$C17/'.NET64RyuJit'!$C17</f>
        <v>0.99122807017543857</v>
      </c>
    </row>
    <row r="18" spans="1:5" x14ac:dyDescent="0.25">
      <c r="A18" t="str">
        <f>'.NET32'!A18</f>
        <v xml:space="preserve">04-Simple arithmetic: FPI8              </v>
      </c>
      <c r="B18" s="4">
        <f>1</f>
        <v>1</v>
      </c>
      <c r="C18" s="4">
        <f>'.NET64'!$C18/'.NET64Store'!$C18</f>
        <v>1</v>
      </c>
      <c r="D18" s="4">
        <f>'.NET64'!$C18/'.NET64StoreNative'!$C18</f>
        <v>0.91071428571428559</v>
      </c>
      <c r="E18" s="4">
        <f>'.NET64'!$C18/'.NET64RyuJit'!$C18</f>
        <v>1.4166666666666667</v>
      </c>
    </row>
    <row r="19" spans="1:5" x14ac:dyDescent="0.25">
      <c r="A19" t="str">
        <f>'.NET32'!A19</f>
        <v xml:space="preserve">04-Simple arithmetic: FPL16             </v>
      </c>
      <c r="B19" s="4">
        <f>1</f>
        <v>1</v>
      </c>
      <c r="C19" s="4">
        <f>'.NET64'!$C19/'.NET64Store'!$C19</f>
        <v>0.9589743589743589</v>
      </c>
      <c r="D19" s="4">
        <f>'.NET64'!$C19/'.NET64StoreNative'!$C19</f>
        <v>1.2064516129032259</v>
      </c>
      <c r="E19" s="4">
        <f>'.NET64'!$C19/'.NET64RyuJit'!$C19</f>
        <v>5.1944444444444446</v>
      </c>
    </row>
    <row r="20" spans="1:5" x14ac:dyDescent="0.25">
      <c r="A20" t="str">
        <f>'.NET32'!A20</f>
        <v xml:space="preserve">04-Simple arithmetic: int               </v>
      </c>
      <c r="B20" s="4">
        <f>1</f>
        <v>1</v>
      </c>
      <c r="C20" s="4">
        <f>'.NET64'!$C20/'.NET64Store'!$C20</f>
        <v>1</v>
      </c>
      <c r="D20" s="4">
        <f>'.NET64'!$C20/'.NET64StoreNative'!$C20</f>
        <v>0.82758620689655171</v>
      </c>
      <c r="E20" s="4">
        <f>'.NET64'!$C20/'.NET64RyuJit'!$C20</f>
        <v>0.88888888888888895</v>
      </c>
    </row>
    <row r="21" spans="1:5" x14ac:dyDescent="0.25">
      <c r="A21" t="str">
        <f>'.NET32'!A21</f>
        <v xml:space="preserve">04-Simple arithmetic: long              </v>
      </c>
      <c r="B21" s="4">
        <f>1</f>
        <v>1</v>
      </c>
      <c r="C21" s="4">
        <f>'.NET64'!$C21/'.NET64Store'!$C21</f>
        <v>1</v>
      </c>
      <c r="D21" s="4">
        <f>'.NET64'!$C21/'.NET64StoreNative'!$C21</f>
        <v>0.96153846153846168</v>
      </c>
      <c r="E21" s="4">
        <f>'.NET64'!$C21/'.NET64RyuJit'!$C21</f>
        <v>0.92592592592592604</v>
      </c>
    </row>
    <row r="22" spans="1:5" x14ac:dyDescent="0.25">
      <c r="A22" t="str">
        <f>'.NET32'!A22</f>
        <v xml:space="preserve">05-Generic sum: double                  </v>
      </c>
      <c r="B22" s="4">
        <f>1</f>
        <v>1</v>
      </c>
      <c r="C22" s="4">
        <f>'.NET64'!$C22/'.NET64Store'!$C22</f>
        <v>1</v>
      </c>
      <c r="D22" s="4">
        <f>'.NET64'!$C22/'.NET64StoreNative'!$C22</f>
        <v>1.3354838709677419</v>
      </c>
      <c r="E22" s="4">
        <f>'.NET64'!$C22/'.NET64RyuJit'!$C22</f>
        <v>1.3269230769230769</v>
      </c>
    </row>
    <row r="23" spans="1:5" x14ac:dyDescent="0.25">
      <c r="A23" t="str">
        <f>'.NET32'!A23</f>
        <v xml:space="preserve">05-Generic sum: FPI8                    </v>
      </c>
      <c r="B23" s="4">
        <f>1</f>
        <v>1</v>
      </c>
      <c r="C23" s="4">
        <f>'.NET64'!$C23/'.NET64Store'!$C23</f>
        <v>1</v>
      </c>
      <c r="D23" s="4">
        <f>'.NET64'!$C23/'.NET64StoreNative'!$C23</f>
        <v>1.2892561983471076</v>
      </c>
      <c r="E23" s="4">
        <f>'.NET64'!$C23/'.NET64RyuJit'!$C23</f>
        <v>1</v>
      </c>
    </row>
    <row r="24" spans="1:5" x14ac:dyDescent="0.25">
      <c r="A24" t="str">
        <f>'.NET32'!A24</f>
        <v xml:space="preserve">05-Generic sum: int                     </v>
      </c>
      <c r="B24" s="4">
        <f>1</f>
        <v>1</v>
      </c>
      <c r="C24" s="4">
        <f>'.NET64'!$C24/'.NET64Store'!$C24</f>
        <v>0.98101265822784811</v>
      </c>
      <c r="D24" s="4">
        <f>'.NET64'!$C24/'.NET64StoreNative'!$C24</f>
        <v>1.28099173553719</v>
      </c>
      <c r="E24" s="4">
        <f>'.NET64'!$C24/'.NET64RyuJit'!$C24</f>
        <v>0.99358974358974361</v>
      </c>
    </row>
    <row r="25" spans="1:5" x14ac:dyDescent="0.25">
      <c r="A25" t="str">
        <f>'.NET32'!A25</f>
        <v xml:space="preserve">05-Generic sum: int via IMath           </v>
      </c>
      <c r="B25" s="4">
        <f>1</f>
        <v>1</v>
      </c>
      <c r="C25" s="4">
        <f>'.NET64'!$C25/'.NET64Store'!$C25</f>
        <v>1</v>
      </c>
      <c r="D25" s="4">
        <f>'.NET64'!$C25/'.NET64StoreNative'!$C25</f>
        <v>0.65024154589371985</v>
      </c>
      <c r="E25" s="4">
        <f>'.NET64'!$C25/'.NET64RyuJit'!$C25</f>
        <v>0.99409158050221569</v>
      </c>
    </row>
    <row r="26" spans="1:5" x14ac:dyDescent="0.25">
      <c r="A26" t="str">
        <f>'.NET32'!A26</f>
        <v xml:space="preserve">05-Generic sum: int without generics    </v>
      </c>
      <c r="B26" s="4">
        <f>1</f>
        <v>1</v>
      </c>
      <c r="C26" s="4">
        <f>'.NET64'!$C26/'.NET64Store'!$C26</f>
        <v>1</v>
      </c>
      <c r="D26" s="4">
        <f>'.NET64'!$C26/'.NET64StoreNative'!$C26</f>
        <v>1.6956521739130435</v>
      </c>
      <c r="E26" s="4">
        <f>'.NET64'!$C26/'.NET64RyuJit'!$C26</f>
        <v>1</v>
      </c>
    </row>
    <row r="27" spans="1:5" x14ac:dyDescent="0.25">
      <c r="A27" t="str">
        <f>'.NET32'!A27</f>
        <v xml:space="preserve">06-Simple parsing: 3 Parse (x1000000)   </v>
      </c>
      <c r="B27" s="4">
        <f>1</f>
        <v>1</v>
      </c>
      <c r="C27" s="4">
        <f>'.NET64'!$C27/'.NET64Store'!$C27</f>
        <v>1</v>
      </c>
      <c r="D27" s="4">
        <f>'.NET64'!$C27/'.NET64StoreNative'!$C27</f>
        <v>0.5</v>
      </c>
      <c r="E27" s="4">
        <f>'.NET64'!$C27/'.NET64RyuJit'!$C27</f>
        <v>1</v>
      </c>
    </row>
    <row r="28" spans="1:5" x14ac:dyDescent="0.25">
      <c r="A28" t="str">
        <f>'.NET32'!A28</f>
        <v xml:space="preserve">06-Simple parsing: 4 Sort (x1000000)    </v>
      </c>
      <c r="B28" s="4">
        <f>1</f>
        <v>1</v>
      </c>
      <c r="C28" s="4">
        <f>'.NET64'!$C28/'.NET64Store'!$C28</f>
        <v>0.94594594594594605</v>
      </c>
      <c r="D28" s="4">
        <f>'.NET64'!$C28/'.NET64StoreNative'!$C28</f>
        <v>1.2962962962962965</v>
      </c>
      <c r="E28" s="4">
        <f>'.NET64'!$C28/'.NET64RyuJit'!$C28</f>
        <v>0.94594594594594605</v>
      </c>
    </row>
    <row r="29" spans="1:5" x14ac:dyDescent="0.25">
      <c r="A29" t="str">
        <f>'.NET32'!A29</f>
        <v xml:space="preserve">07-Trivial method calls: Interface NoOp </v>
      </c>
      <c r="B29" s="4">
        <f>1</f>
        <v>1</v>
      </c>
      <c r="C29" s="4">
        <f>'.NET64'!$C29/'.NET64Store'!$C29</f>
        <v>1</v>
      </c>
      <c r="D29" s="4">
        <f>'.NET64'!$C29/'.NET64StoreNative'!$C29</f>
        <v>0.68627450980392168</v>
      </c>
      <c r="E29" s="4">
        <f>'.NET64'!$C29/'.NET64RyuJit'!$C29</f>
        <v>0.85365853658536595</v>
      </c>
    </row>
    <row r="30" spans="1:5" x14ac:dyDescent="0.25">
      <c r="A30" t="str">
        <f>'.NET32'!A30</f>
        <v xml:space="preserve">07-Trivial method calls: No-inline NoOp </v>
      </c>
      <c r="B30" s="4">
        <f>1</f>
        <v>1</v>
      </c>
      <c r="C30" s="4">
        <f>'.NET64'!$C30/'.NET64Store'!$C30</f>
        <v>0.92307692307692313</v>
      </c>
      <c r="D30" s="4">
        <f>'.NET64'!$C30/'.NET64StoreNative'!$C30</f>
        <v>0.96</v>
      </c>
      <c r="E30" s="4">
        <f>'.NET64'!$C30/'.NET64RyuJit'!$C30</f>
        <v>0.96</v>
      </c>
    </row>
    <row r="31" spans="1:5" x14ac:dyDescent="0.25">
      <c r="A31" t="str">
        <f>'.NET32'!A31</f>
        <v xml:space="preserve">07-Trivial method calls: Static NoOp    </v>
      </c>
      <c r="B31" s="4">
        <f>1</f>
        <v>1</v>
      </c>
      <c r="C31" s="4">
        <f>'.NET64'!$C31/'.NET64Store'!$C31</f>
        <v>1</v>
      </c>
      <c r="D31" s="4" t="s">
        <v>64</v>
      </c>
      <c r="E31" s="4">
        <f>'.NET64'!$C31/'.NET64RyuJit'!$C31</f>
        <v>0.2</v>
      </c>
    </row>
    <row r="32" spans="1:5" x14ac:dyDescent="0.25">
      <c r="A32" t="str">
        <f>'.NET32'!A32</f>
        <v xml:space="preserve">07-Trivial method calls: Virtual NoOp   </v>
      </c>
      <c r="B32" s="4">
        <f>1</f>
        <v>1</v>
      </c>
      <c r="C32" s="4">
        <f>'.NET64'!$C32/'.NET64Store'!$C32</f>
        <v>1</v>
      </c>
      <c r="D32" s="4">
        <f>'.NET64'!$C32/'.NET64StoreNative'!$C32</f>
        <v>0.91999999999999993</v>
      </c>
      <c r="E32" s="4">
        <f>'.NET64'!$C32/'.NET64RyuJit'!$C32</f>
        <v>0.74193548387096775</v>
      </c>
    </row>
    <row r="33" spans="1:5" x14ac:dyDescent="0.25">
      <c r="A33" t="str">
        <f>'.NET32'!A33</f>
        <v xml:space="preserve">08-Matrix multiply: &lt;double&gt;[n][n]      </v>
      </c>
      <c r="B33" s="4">
        <f>1</f>
        <v>1</v>
      </c>
      <c r="C33" s="4">
        <f>'.NET64'!$C33/'.NET64Store'!$C33</f>
        <v>0.99282051282051287</v>
      </c>
      <c r="D33" s="4">
        <f>'.NET64'!$C33/'.NET64StoreNative'!$C33</f>
        <v>1.137485311398355</v>
      </c>
      <c r="E33" s="4">
        <f>'.NET64'!$C33/'.NET64RyuJit'!$C33</f>
        <v>1.1676718938480097</v>
      </c>
    </row>
    <row r="34" spans="1:5" x14ac:dyDescent="0.25">
      <c r="A34" t="str">
        <f>'.NET32'!A34</f>
        <v xml:space="preserve">08-Matrix multiply: &lt;float&gt;[n][n]       </v>
      </c>
      <c r="B34" s="4">
        <f>1</f>
        <v>1</v>
      </c>
      <c r="C34" s="4">
        <f>'.NET64'!$C34/'.NET64Store'!$C34</f>
        <v>1</v>
      </c>
      <c r="D34" s="4">
        <f>'.NET64'!$C34/'.NET64StoreNative'!$C34</f>
        <v>5.0141570141570142</v>
      </c>
      <c r="E34" s="4">
        <f>'.NET64'!$C34/'.NET64RyuJit'!$C34</f>
        <v>4.950444726810673</v>
      </c>
    </row>
    <row r="35" spans="1:5" x14ac:dyDescent="0.25">
      <c r="A35" t="str">
        <f>'.NET32'!A35</f>
        <v xml:space="preserve">08-Matrix multiply: &lt;int&gt;[n][n]         </v>
      </c>
      <c r="B35" s="4">
        <f>1</f>
        <v>1</v>
      </c>
      <c r="C35" s="4">
        <f>'.NET64'!$C35/'.NET64Store'!$C35</f>
        <v>1.0027322404371584</v>
      </c>
      <c r="D35" s="4">
        <f>'.NET64'!$C35/'.NET64StoreNative'!$C35</f>
        <v>1.3418647166361972</v>
      </c>
      <c r="E35" s="4">
        <f>'.NET64'!$C35/'.NET64RyuJit'!$C35</f>
        <v>1.1577287066246056</v>
      </c>
    </row>
    <row r="36" spans="1:5" x14ac:dyDescent="0.25">
      <c r="A36" t="str">
        <f>'.NET32'!A36</f>
        <v xml:space="preserve">08-Matrix multiply: Array2D&lt;double&gt;     </v>
      </c>
      <c r="B36" s="4">
        <f>1</f>
        <v>1</v>
      </c>
      <c r="C36" s="4">
        <f>'.NET64'!$C36/'.NET64Store'!$C36</f>
        <v>0.99864314789687925</v>
      </c>
      <c r="D36" s="4">
        <f>'.NET64'!$C36/'.NET64StoreNative'!$C36</f>
        <v>3.8333333333333335</v>
      </c>
      <c r="E36" s="4">
        <f>'.NET64'!$C36/'.NET64RyuJit'!$C36</f>
        <v>2.7544910179640718</v>
      </c>
    </row>
    <row r="37" spans="1:5" x14ac:dyDescent="0.25">
      <c r="A37" t="str">
        <f>'.NET32'!A37</f>
        <v xml:space="preserve">08-Matrix multiply: double[n*n]         </v>
      </c>
      <c r="B37" s="4">
        <f>1</f>
        <v>1</v>
      </c>
      <c r="C37" s="4">
        <f>'.NET64'!$C37/'.NET64Store'!$C37</f>
        <v>1.0012330456226881</v>
      </c>
      <c r="D37" s="4">
        <f>'.NET64'!$C37/'.NET64StoreNative'!$C37</f>
        <v>1.004950495049505</v>
      </c>
      <c r="E37" s="4">
        <f>'.NET64'!$C37/'.NET64RyuJit'!$C37</f>
        <v>0.9950980392156864</v>
      </c>
    </row>
    <row r="38" spans="1:5" x14ac:dyDescent="0.25">
      <c r="A38" t="str">
        <f>'.NET32'!A38</f>
        <v xml:space="preserve">08-Matrix multiply: double[n][n]        </v>
      </c>
      <c r="B38" s="4">
        <f>1</f>
        <v>1</v>
      </c>
      <c r="C38" s="4">
        <f>'.NET64'!$C38/'.NET64Store'!$C38</f>
        <v>0.99153567110036278</v>
      </c>
      <c r="D38" s="4">
        <f>'.NET64'!$C38/'.NET64StoreNative'!$C38</f>
        <v>0.96018735362997654</v>
      </c>
      <c r="E38" s="4">
        <f>'.NET64'!$C38/'.NET64RyuJit'!$C38</f>
        <v>0.98203592814371254</v>
      </c>
    </row>
    <row r="39" spans="1:5" x14ac:dyDescent="0.25">
      <c r="A39" t="str">
        <f>'.NET32'!A39</f>
        <v xml:space="preserve">08-Matrix multiply: int[n][n]           </v>
      </c>
      <c r="B39" s="4">
        <f>1</f>
        <v>1</v>
      </c>
      <c r="C39" s="4">
        <f>'.NET64'!$C39/'.NET64Store'!$C39</f>
        <v>1</v>
      </c>
      <c r="D39" s="4">
        <f>'.NET64'!$C39/'.NET64StoreNative'!$C39</f>
        <v>1.1909090909090909</v>
      </c>
      <c r="E39" s="4">
        <f>'.NET64'!$C39/'.NET64RyuJit'!$C39</f>
        <v>1.1196581196581197</v>
      </c>
    </row>
    <row r="40" spans="1:5" x14ac:dyDescent="0.25">
      <c r="A40" t="str">
        <f>'.NET32'!A40</f>
        <v xml:space="preserve">09-Sudoku                               </v>
      </c>
      <c r="B40" s="4">
        <f>1</f>
        <v>1</v>
      </c>
      <c r="C40" s="4">
        <f>'.NET64'!$C40/'.NET64Store'!$C40</f>
        <v>1</v>
      </c>
      <c r="D40" s="4">
        <f>'.NET64'!$C40/'.NET64StoreNative'!$C40</f>
        <v>1.3797867183713037</v>
      </c>
      <c r="E40" s="4">
        <f>'.NET64'!$C40/'.NET64RyuJit'!$C40</f>
        <v>1.4802392095683825</v>
      </c>
    </row>
    <row r="41" spans="1:5" x14ac:dyDescent="0.25">
      <c r="A41" t="str">
        <f>'.NET32'!A41</f>
        <v xml:space="preserve">10-Polynomials                          </v>
      </c>
      <c r="B41" s="4">
        <f>1</f>
        <v>1</v>
      </c>
      <c r="C41" s="4">
        <f>'.NET64'!$C41/'.NET64Store'!$C41</f>
        <v>0.9988962472406181</v>
      </c>
      <c r="D41" s="4">
        <f>'.NET64'!$C41/'.NET64StoreNative'!$C41</f>
        <v>0.9417273673257025</v>
      </c>
      <c r="E41" s="4">
        <f>'.NET64'!$C41/'.NET64RyuJit'!$C41</f>
        <v>0.98907103825136611</v>
      </c>
    </row>
    <row r="42" spans="1:5" x14ac:dyDescent="0.25">
      <c r="A42" t="str">
        <f>'.NET32'!A42</f>
        <v xml:space="preserve">11-JGFArithBench                        </v>
      </c>
      <c r="B42" s="4">
        <f>1</f>
        <v>1</v>
      </c>
      <c r="C42" s="4">
        <f>'.NET64'!$C42/'.NET64Store'!$C42</f>
        <v>1</v>
      </c>
      <c r="D42" s="4">
        <f>'.NET64'!$C42/'.NET64StoreNative'!$C42</f>
        <v>1.0178571428571428</v>
      </c>
      <c r="E42" s="4">
        <f>'.NET64'!$C42/'.NET64RyuJit'!$C42</f>
        <v>1.1176470588235294</v>
      </c>
    </row>
    <row r="43" spans="1:5" x14ac:dyDescent="0.25">
      <c r="A43" t="str">
        <f>'.NET32'!A43</f>
        <v xml:space="preserve">12-JGFAssignBench                       </v>
      </c>
      <c r="B43" s="4">
        <f>1</f>
        <v>1</v>
      </c>
      <c r="C43" s="4">
        <f>'.NET64'!$C43/'.NET64Store'!$C43</f>
        <v>1.0010810810810811</v>
      </c>
      <c r="D43" s="4">
        <f>'.NET64'!$C43/'.NET64StoreNative'!$C43</f>
        <v>1.0209481808158765</v>
      </c>
      <c r="E43" s="4">
        <f>'.NET64'!$C43/'.NET64RyuJit'!$C43</f>
        <v>0.53495089543616403</v>
      </c>
    </row>
    <row r="44" spans="1:5" x14ac:dyDescent="0.25">
      <c r="A44" t="str">
        <f>'.NET32'!A44</f>
        <v xml:space="preserve">13-JGFCastBench                         </v>
      </c>
      <c r="B44" s="4">
        <f>1</f>
        <v>1</v>
      </c>
      <c r="C44" s="4">
        <f>'.NET64'!$C44/'.NET64Store'!$C44</f>
        <v>1.0012330456226881</v>
      </c>
      <c r="D44" s="4">
        <f>'.NET64'!$C44/'.NET64StoreNative'!$C44</f>
        <v>0.98903775883069445</v>
      </c>
      <c r="E44" s="4">
        <f>'.NET64'!$C44/'.NET64RyuJit'!$C44</f>
        <v>1.3880341880341882</v>
      </c>
    </row>
    <row r="45" spans="1:5" x14ac:dyDescent="0.25">
      <c r="A45" t="str">
        <f>'.NET32'!A45</f>
        <v xml:space="preserve">14-JGFCreateBench                       </v>
      </c>
      <c r="B45" s="4">
        <f>1</f>
        <v>1</v>
      </c>
      <c r="C45" s="4">
        <f>'.NET64'!$C45/'.NET64Store'!$C45</f>
        <v>0.95793163891323396</v>
      </c>
      <c r="D45" s="4">
        <f>'.NET64'!$C45/'.NET64StoreNative'!$C45</f>
        <v>0.8060471976401179</v>
      </c>
      <c r="E45" s="4">
        <f>'.NET64'!$C45/'.NET64RyuJit'!$C45</f>
        <v>0.9927338782924614</v>
      </c>
    </row>
    <row r="46" spans="1:5" x14ac:dyDescent="0.25">
      <c r="A46" t="str">
        <f>'.NET32'!A46</f>
        <v xml:space="preserve">15-JGFFFTBench                          </v>
      </c>
      <c r="B46" s="4">
        <f>1</f>
        <v>1</v>
      </c>
      <c r="C46" s="4">
        <f>'.NET64'!$C46/'.NET64Store'!$C46</f>
        <v>1.1641094062708472</v>
      </c>
      <c r="D46" s="4">
        <f>'.NET64'!$C46/'.NET64StoreNative'!$C46</f>
        <v>1.1814488828706837</v>
      </c>
      <c r="E46" s="4">
        <f>'.NET64'!$C46/'.NET64RyuJit'!$C46</f>
        <v>1.1556291390728477</v>
      </c>
    </row>
    <row r="47" spans="1:5" x14ac:dyDescent="0.25">
      <c r="A47" t="str">
        <f>'.NET32'!A47</f>
        <v xml:space="preserve">16-JGFHeapSortBench                     </v>
      </c>
      <c r="B47" s="4">
        <f>1</f>
        <v>1</v>
      </c>
      <c r="C47" s="4">
        <f>'.NET64'!$C47/'.NET64Store'!$C47</f>
        <v>1.0019588638589618</v>
      </c>
      <c r="D47" s="4">
        <f>'.NET64'!$C47/'.NET64StoreNative'!$C47</f>
        <v>1.0108695652173911</v>
      </c>
      <c r="E47" s="4">
        <f>'.NET64'!$C47/'.NET64RyuJit'!$C47</f>
        <v>0.98649951783992285</v>
      </c>
    </row>
    <row r="48" spans="1:5" x14ac:dyDescent="0.25">
      <c r="A48" t="str">
        <f>'.NET32'!A48</f>
        <v xml:space="preserve">17-JGFLoopBench                         </v>
      </c>
      <c r="B48" s="4">
        <f>1</f>
        <v>1</v>
      </c>
      <c r="C48" s="4">
        <f>'.NET64'!$C48/'.NET64Store'!$C48</f>
        <v>1.0034682080924855</v>
      </c>
      <c r="D48" s="4">
        <f>'.NET64'!$C48/'.NET64StoreNative'!$C48</f>
        <v>1.0796019900497511</v>
      </c>
      <c r="E48" s="4">
        <f>'.NET64'!$C48/'.NET64RyuJit'!$C48</f>
        <v>1.0069605568445477</v>
      </c>
    </row>
    <row r="49" spans="1:5" x14ac:dyDescent="0.25">
      <c r="A49" t="str">
        <f>'.NET32'!A49</f>
        <v xml:space="preserve">18-JGFRayTracerBench                    </v>
      </c>
      <c r="B49" s="4">
        <f>1</f>
        <v>1</v>
      </c>
      <c r="C49" s="4">
        <f>'.NET64'!$C49/'.NET64Store'!$C49</f>
        <v>1</v>
      </c>
      <c r="D49" s="4">
        <f>'.NET64'!$C49/'.NET64StoreNative'!$C49</f>
        <v>0.87291501191421772</v>
      </c>
      <c r="E49" s="4">
        <f>'.NET64'!$C49/'.NET64RyuJit'!$C49</f>
        <v>1.1318228630278064</v>
      </c>
    </row>
    <row r="50" spans="1:5" x14ac:dyDescent="0.25">
      <c r="A50" t="str">
        <f>'.NET32'!A50</f>
        <v>19-float4x4 matrix mul, Managed Standard</v>
      </c>
      <c r="B50" s="4">
        <f>1</f>
        <v>1</v>
      </c>
      <c r="C50" s="4">
        <f>'.NET64'!$C50/'.NET64Store'!$C50</f>
        <v>0.98775055679287305</v>
      </c>
      <c r="D50" s="4">
        <f>'.NET64'!$C50/'.NET64StoreNative'!$C50</f>
        <v>1.0386416861826697</v>
      </c>
      <c r="E50" s="4">
        <f>'.NET64'!$C50/'.NET64RyuJit'!$C50</f>
        <v>1.356269113149847</v>
      </c>
    </row>
    <row r="51" spans="1:5" x14ac:dyDescent="0.25">
      <c r="A51" t="str">
        <f>'.NET32'!A51</f>
        <v xml:space="preserve">20-float4x4 matrix mul, Managed unsafe  </v>
      </c>
      <c r="B51" s="4">
        <f>1</f>
        <v>1</v>
      </c>
      <c r="C51" s="4">
        <f>'.NET64'!$C51/'.NET64Store'!$C51</f>
        <v>1.0065359477124183</v>
      </c>
      <c r="D51" s="4">
        <f>'.NET64'!$C51/'.NET64StoreNative'!$C51</f>
        <v>0.90058479532163738</v>
      </c>
      <c r="E51" s="4">
        <f>'.NET64'!$C51/'.NET64RyuJit'!$C51</f>
        <v>1.0048939641109298</v>
      </c>
    </row>
    <row r="52" spans="1:5" x14ac:dyDescent="0.25">
      <c r="A52" t="str">
        <f>'.NET32'!A52</f>
        <v>21-float4x4 matrix mul, Interop Standard</v>
      </c>
      <c r="B52" s="4">
        <f>1</f>
        <v>1</v>
      </c>
      <c r="C52" s="4">
        <f>'.NET64'!$C52/'.NET64Store'!$C52</f>
        <v>1.2044063647490821</v>
      </c>
      <c r="D52" s="4">
        <f>'.NET64'!$C52/'.NET64StoreNative'!$C52</f>
        <v>1.4556213017751478</v>
      </c>
      <c r="E52" s="4">
        <f>'.NET64'!$C52/'.NET64RyuJit'!$C52</f>
        <v>1.0325288562434418</v>
      </c>
    </row>
    <row r="53" spans="1:5" x14ac:dyDescent="0.25">
      <c r="A53" t="str">
        <f>'.NET32'!A53</f>
        <v xml:space="preserve">22-float4x4 matrix mul, Interop SSE2    </v>
      </c>
      <c r="B53" s="4">
        <f>1</f>
        <v>1</v>
      </c>
      <c r="C53" s="4">
        <f>'.NET64'!$C53/'.NET64Store'!$C53</f>
        <v>1.3636363636363635</v>
      </c>
      <c r="D53" s="4">
        <f>'.NET64'!$C53/'.NET64StoreNative'!$C53</f>
        <v>1.9158878504672896</v>
      </c>
      <c r="E53" s="4">
        <f>'.NET64'!$C53/'.NET64RyuJit'!$C53</f>
        <v>1.0459183673469388</v>
      </c>
    </row>
    <row r="54" spans="1:5" x14ac:dyDescent="0.25">
      <c r="A54" t="str">
        <f>'.NET32'!A54</f>
        <v xml:space="preserve">23-managed add                          </v>
      </c>
      <c r="B54" s="4">
        <f>1</f>
        <v>1</v>
      </c>
      <c r="C54" s="4">
        <f>'.NET64'!$C54/'.NET64Store'!$C54</f>
        <v>1</v>
      </c>
      <c r="D54" s="4">
        <f>'.NET64'!$C54/'.NET64StoreNative'!$C54</f>
        <v>1</v>
      </c>
      <c r="E54" s="4">
        <f>'.NET64'!$C54/'.NET64RyuJit'!$C54</f>
        <v>4.0526315789473681</v>
      </c>
    </row>
    <row r="55" spans="1:5" x14ac:dyDescent="0.25">
      <c r="A55" t="str">
        <f>'.NET32'!A55</f>
        <v xml:space="preserve">24-managed no-inline add                </v>
      </c>
      <c r="B55" s="4">
        <f>1</f>
        <v>1</v>
      </c>
      <c r="C55" s="4">
        <f>'.NET64'!$C55/'.NET64Store'!$C55</f>
        <v>0.88505747126436785</v>
      </c>
      <c r="D55" s="4">
        <f>'.NET64'!$C55/'.NET64StoreNative'!$C55</f>
        <v>1.4807692307692308</v>
      </c>
      <c r="E55" s="4">
        <f>'.NET64'!$C55/'.NET64RyuJit'!$C55</f>
        <v>1</v>
      </c>
    </row>
    <row r="56" spans="1:5" x14ac:dyDescent="0.25">
      <c r="A56" t="str">
        <f>'.NET32'!A56</f>
        <v xml:space="preserve">25-interop add                          </v>
      </c>
      <c r="B56" s="4">
        <f>1</f>
        <v>1</v>
      </c>
      <c r="C56" s="4">
        <f>'.NET64'!$C56/'.NET64Store'!$C56</f>
        <v>0.98630136986301364</v>
      </c>
      <c r="D56" s="4">
        <f>'.NET64'!$C56/'.NET64StoreNative'!$C56</f>
        <v>1.1707317073170731</v>
      </c>
      <c r="E56" s="4">
        <f>'.NET64'!$C56/'.NET64RyuJit'!$C56</f>
        <v>1.1076923076923075</v>
      </c>
    </row>
    <row r="57" spans="1:5" x14ac:dyDescent="0.25">
      <c r="A57" t="str">
        <f>'.NET32'!A57</f>
        <v xml:space="preserve">26-interop indirect add                 </v>
      </c>
      <c r="B57" s="4">
        <f>1</f>
        <v>1</v>
      </c>
      <c r="C57" s="4">
        <f>'.NET64'!$C57/'.NET64Store'!$C57</f>
        <v>1</v>
      </c>
      <c r="D57" s="4">
        <f>'.NET64'!$C57/'.NET64StoreNative'!$C57</f>
        <v>1.2764227642276422</v>
      </c>
      <c r="E57" s="4">
        <f>'.NET64'!$C57/'.NET64RyuJit'!$C57</f>
        <v>0.38014527845036322</v>
      </c>
    </row>
  </sheetData>
  <conditionalFormatting sqref="C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D57">
    <cfRule type="cellIs" dxfId="11" priority="9" operator="lessThanOrEqual">
      <formula>0.9</formula>
    </cfRule>
    <cfRule type="cellIs" dxfId="10" priority="10" operator="greaterThanOrEqual">
      <formula>1.1</formula>
    </cfRule>
  </conditionalFormatting>
  <conditionalFormatting sqref="E2:E57">
    <cfRule type="cellIs" dxfId="9" priority="7" operator="lessThanOrEqual">
      <formula>0.9</formula>
    </cfRule>
    <cfRule type="cellIs" dxfId="8" priority="8" operator="greaterThanOrEqual">
      <formula>1.1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E57"/>
  <sheetViews>
    <sheetView workbookViewId="0"/>
  </sheetViews>
  <sheetFormatPr baseColWidth="10" defaultRowHeight="15" x14ac:dyDescent="0.25"/>
  <cols>
    <col min="1" max="1" width="40.42578125" bestFit="1" customWidth="1"/>
    <col min="2" max="2" width="17.140625" style="3" bestFit="1" customWidth="1"/>
    <col min="3" max="3" width="17.140625" bestFit="1" customWidth="1"/>
    <col min="4" max="4" width="16.5703125" customWidth="1"/>
    <col min="5" max="5" width="14.7109375" bestFit="1" customWidth="1"/>
  </cols>
  <sheetData>
    <row r="1" spans="1:5" ht="30" x14ac:dyDescent="0.25">
      <c r="A1" s="7" t="s">
        <v>69</v>
      </c>
      <c r="B1" s="6" t="s">
        <v>78</v>
      </c>
      <c r="C1" s="6" t="s">
        <v>79</v>
      </c>
      <c r="D1" s="2"/>
      <c r="E1" s="2" t="s">
        <v>68</v>
      </c>
    </row>
    <row r="2" spans="1:5" x14ac:dyDescent="0.25">
      <c r="A2" s="2" t="str">
        <f>'.NET32'!A2</f>
        <v xml:space="preserve">00-Big int Dictionary: 1 Adding items   </v>
      </c>
      <c r="B2" s="4">
        <v>1</v>
      </c>
      <c r="C2" s="4">
        <f>'.NET32StoreNative'!$C2/'.NET64StoreNative'!$C2</f>
        <v>1.3061224489795917</v>
      </c>
    </row>
    <row r="3" spans="1:5" x14ac:dyDescent="0.25">
      <c r="A3" t="str">
        <f>'.NET32'!A3</f>
        <v>00-Big int Dictionary: 2 Running queries</v>
      </c>
      <c r="B3" s="4">
        <v>1</v>
      </c>
      <c r="C3" s="4">
        <f>'.NET32StoreNative'!$C3/'.NET64StoreNative'!$C3</f>
        <v>1.3499999999999999</v>
      </c>
    </row>
    <row r="4" spans="1:5" x14ac:dyDescent="0.25">
      <c r="A4" t="str">
        <f>'.NET32'!A4</f>
        <v xml:space="preserve">00-Big int Dictionary: 3 Removing items </v>
      </c>
      <c r="B4" s="4">
        <v>1</v>
      </c>
      <c r="C4" s="4">
        <f>'.NET32StoreNative'!$C4/'.NET64StoreNative'!$C4</f>
        <v>1.1904761904761905</v>
      </c>
    </row>
    <row r="5" spans="1:5" x14ac:dyDescent="0.25">
      <c r="A5" t="str">
        <f>'.NET32'!A5</f>
        <v>01-Big string Dictionary: 0 Ints to strings</v>
      </c>
      <c r="B5" s="4">
        <v>1</v>
      </c>
      <c r="C5" s="4">
        <f>'.NET32StoreNative'!$C5/'.NET64StoreNative'!$C5</f>
        <v>1.1346153846153846</v>
      </c>
    </row>
    <row r="6" spans="1:5" x14ac:dyDescent="0.25">
      <c r="A6" t="str">
        <f>'.NET32'!A6</f>
        <v>01-Big string Dictionary: 1 Adding/setting</v>
      </c>
      <c r="B6" s="4">
        <v>1</v>
      </c>
      <c r="C6" s="4">
        <f>'.NET32StoreNative'!$C6/'.NET64StoreNative'!$C6</f>
        <v>1.2170212765957447</v>
      </c>
    </row>
    <row r="7" spans="1:5" x14ac:dyDescent="0.25">
      <c r="A7" t="str">
        <f>'.NET32'!A7</f>
        <v>01-Big string Dictionary: 2 Running queries</v>
      </c>
      <c r="B7" s="4">
        <v>1</v>
      </c>
      <c r="C7" s="4">
        <f>'.NET32StoreNative'!$C7/'.NET64StoreNative'!$C7</f>
        <v>1.1685823754789271</v>
      </c>
    </row>
    <row r="8" spans="1:5" x14ac:dyDescent="0.25">
      <c r="A8" t="str">
        <f>'.NET32'!A8</f>
        <v>01-Big string Dictionary: 3 Removing items</v>
      </c>
      <c r="B8" s="4">
        <v>1</v>
      </c>
      <c r="C8" s="4">
        <f>'.NET32StoreNative'!$C8/'.NET64StoreNative'!$C8</f>
        <v>1.1556420233463034</v>
      </c>
    </row>
    <row r="9" spans="1:5" x14ac:dyDescent="0.25">
      <c r="A9" t="str">
        <f>'.NET32'!A9</f>
        <v xml:space="preserve">02-Big int sorted map: 1 Adding items   </v>
      </c>
      <c r="B9" s="4">
        <v>1</v>
      </c>
      <c r="C9" s="4">
        <f>'.NET32StoreNative'!$C9/'.NET64StoreNative'!$C9</f>
        <v>1.0081892629663332</v>
      </c>
    </row>
    <row r="10" spans="1:5" x14ac:dyDescent="0.25">
      <c r="A10" t="str">
        <f>'.NET32'!A10</f>
        <v>02-Big int sorted map: 2 Running queries</v>
      </c>
      <c r="B10" s="4">
        <v>1</v>
      </c>
      <c r="C10" s="4">
        <f>'.NET32StoreNative'!$C10/'.NET64StoreNative'!$C10</f>
        <v>0.99335548172757471</v>
      </c>
    </row>
    <row r="11" spans="1:5" x14ac:dyDescent="0.25">
      <c r="A11" t="str">
        <f>'.NET32'!A11</f>
        <v xml:space="preserve">02-Big int sorted map: 3 Removing items </v>
      </c>
      <c r="B11" s="4">
        <v>1</v>
      </c>
      <c r="C11" s="4">
        <f>'.NET32StoreNative'!$C11/'.NET64StoreNative'!$C11</f>
        <v>0.9565217391304347</v>
      </c>
    </row>
    <row r="12" spans="1:5" x14ac:dyDescent="0.25">
      <c r="A12" t="str">
        <f>'.NET32'!A12</f>
        <v xml:space="preserve">03-Square root: double                  </v>
      </c>
      <c r="B12" s="4">
        <v>1</v>
      </c>
      <c r="C12" s="4">
        <f>'.NET32StoreNative'!$C12/'.NET64StoreNative'!$C12</f>
        <v>1</v>
      </c>
    </row>
    <row r="13" spans="1:5" x14ac:dyDescent="0.25">
      <c r="A13" t="str">
        <f>'.NET32'!A13</f>
        <v xml:space="preserve">03-Square root: FPL16                   </v>
      </c>
      <c r="B13" s="4">
        <v>1</v>
      </c>
      <c r="C13" s="4">
        <f>'.NET32StoreNative'!$C13/'.NET64StoreNative'!$C13</f>
        <v>2.1008403361344539</v>
      </c>
    </row>
    <row r="14" spans="1:5" x14ac:dyDescent="0.25">
      <c r="A14" t="str">
        <f>'.NET32'!A14</f>
        <v xml:space="preserve">03-Square root: uint                    </v>
      </c>
      <c r="B14" s="4">
        <v>1</v>
      </c>
      <c r="C14" s="4">
        <f>'.NET32StoreNative'!$C14/'.NET64StoreNative'!$C14</f>
        <v>1.1176470588235292</v>
      </c>
    </row>
    <row r="15" spans="1:5" x14ac:dyDescent="0.25">
      <c r="A15" t="str">
        <f>'.NET32'!A15</f>
        <v xml:space="preserve">03-Square root: ulong                   </v>
      </c>
      <c r="B15" s="4">
        <v>1</v>
      </c>
      <c r="C15" s="4">
        <f>'.NET32StoreNative'!$C15/'.NET64StoreNative'!$C15</f>
        <v>2.117647058823529</v>
      </c>
    </row>
    <row r="16" spans="1:5" x14ac:dyDescent="0.25">
      <c r="A16" t="str">
        <f>'.NET32'!A16</f>
        <v xml:space="preserve">04-Simple arithmetic: double            </v>
      </c>
      <c r="B16" s="4">
        <v>1</v>
      </c>
      <c r="C16" s="4">
        <f>'.NET32StoreNative'!$C16/'.NET64StoreNative'!$C16</f>
        <v>2.0746268656716418</v>
      </c>
    </row>
    <row r="17" spans="1:3" x14ac:dyDescent="0.25">
      <c r="A17" t="str">
        <f>'.NET32'!A17</f>
        <v xml:space="preserve">04-Simple arithmetic: float             </v>
      </c>
      <c r="B17" s="4">
        <v>1</v>
      </c>
      <c r="C17" s="4">
        <f>'.NET32StoreNative'!$C17/'.NET64StoreNative'!$C17</f>
        <v>1.3975903614457832</v>
      </c>
    </row>
    <row r="18" spans="1:3" x14ac:dyDescent="0.25">
      <c r="A18" t="str">
        <f>'.NET32'!A18</f>
        <v xml:space="preserve">04-Simple arithmetic: FPI8              </v>
      </c>
      <c r="B18" s="4">
        <v>1</v>
      </c>
      <c r="C18" s="4">
        <f>'.NET32StoreNative'!$C18/'.NET64StoreNative'!$C18</f>
        <v>1</v>
      </c>
    </row>
    <row r="19" spans="1:3" x14ac:dyDescent="0.25">
      <c r="A19" t="str">
        <f>'.NET32'!A19</f>
        <v xml:space="preserve">04-Simple arithmetic: FPL16             </v>
      </c>
      <c r="B19" s="4">
        <v>1</v>
      </c>
      <c r="C19" s="4">
        <f>'.NET32StoreNative'!$C19/'.NET64StoreNative'!$C19</f>
        <v>1.4903225806451614</v>
      </c>
    </row>
    <row r="20" spans="1:3" x14ac:dyDescent="0.25">
      <c r="A20" t="str">
        <f>'.NET32'!A20</f>
        <v xml:space="preserve">04-Simple arithmetic: int               </v>
      </c>
      <c r="B20" s="4">
        <v>1</v>
      </c>
      <c r="C20" s="4">
        <f>'.NET32StoreNative'!$C20/'.NET64StoreNative'!$C20</f>
        <v>0.96551724137931028</v>
      </c>
    </row>
    <row r="21" spans="1:3" x14ac:dyDescent="0.25">
      <c r="A21" t="str">
        <f>'.NET32'!A21</f>
        <v xml:space="preserve">04-Simple arithmetic: long              </v>
      </c>
      <c r="B21" s="4">
        <v>1</v>
      </c>
      <c r="C21" s="4">
        <f>'.NET32StoreNative'!$C21/'.NET64StoreNative'!$C21</f>
        <v>7.6538461538461542</v>
      </c>
    </row>
    <row r="22" spans="1:3" x14ac:dyDescent="0.25">
      <c r="A22" t="str">
        <f>'.NET32'!A22</f>
        <v xml:space="preserve">05-Generic sum: double                  </v>
      </c>
      <c r="B22" s="4">
        <v>1</v>
      </c>
      <c r="C22" s="4">
        <f>'.NET32StoreNative'!$C22/'.NET64StoreNative'!$C22</f>
        <v>1.0064516129032257</v>
      </c>
    </row>
    <row r="23" spans="1:3" x14ac:dyDescent="0.25">
      <c r="A23" t="str">
        <f>'.NET32'!A23</f>
        <v xml:space="preserve">05-Generic sum: FPI8                    </v>
      </c>
      <c r="B23" s="4">
        <v>1</v>
      </c>
      <c r="C23" s="4">
        <f>'.NET32StoreNative'!$C23/'.NET64StoreNative'!$C23</f>
        <v>1</v>
      </c>
    </row>
    <row r="24" spans="1:3" x14ac:dyDescent="0.25">
      <c r="A24" t="str">
        <f>'.NET32'!A24</f>
        <v xml:space="preserve">05-Generic sum: int                     </v>
      </c>
      <c r="B24" s="4">
        <v>1</v>
      </c>
      <c r="C24" s="4">
        <f>'.NET32StoreNative'!$C24/'.NET64StoreNative'!$C24</f>
        <v>1.0082644628099173</v>
      </c>
    </row>
    <row r="25" spans="1:3" x14ac:dyDescent="0.25">
      <c r="A25" t="str">
        <f>'.NET32'!A25</f>
        <v xml:space="preserve">05-Generic sum: int via IMath           </v>
      </c>
      <c r="B25" s="4">
        <v>1</v>
      </c>
      <c r="C25" s="4">
        <f>'.NET32StoreNative'!$C25/'.NET64StoreNative'!$C25</f>
        <v>1.0685990338164253</v>
      </c>
    </row>
    <row r="26" spans="1:3" x14ac:dyDescent="0.25">
      <c r="A26" t="str">
        <f>'.NET32'!A26</f>
        <v xml:space="preserve">05-Generic sum: int without generics    </v>
      </c>
      <c r="B26" s="4">
        <v>1</v>
      </c>
      <c r="C26" s="4">
        <f>'.NET32StoreNative'!$C26/'.NET64StoreNative'!$C26</f>
        <v>1.1195652173913042</v>
      </c>
    </row>
    <row r="27" spans="1:3" x14ac:dyDescent="0.25">
      <c r="A27" t="str">
        <f>'.NET32'!A27</f>
        <v xml:space="preserve">06-Simple parsing: 3 Parse (x1000000)   </v>
      </c>
      <c r="B27" s="4">
        <v>1</v>
      </c>
      <c r="C27" s="4">
        <f>'.NET32StoreNative'!$C27/'.NET64StoreNative'!$C27</f>
        <v>1</v>
      </c>
    </row>
    <row r="28" spans="1:3" x14ac:dyDescent="0.25">
      <c r="A28" t="str">
        <f>'.NET32'!A28</f>
        <v xml:space="preserve">06-Simple parsing: 4 Sort (x1000000)    </v>
      </c>
      <c r="B28" s="4">
        <v>1</v>
      </c>
      <c r="C28" s="4">
        <f>'.NET32StoreNative'!$C28/'.NET64StoreNative'!$C28</f>
        <v>1.962962962962963</v>
      </c>
    </row>
    <row r="29" spans="1:3" x14ac:dyDescent="0.25">
      <c r="A29" t="str">
        <f>'.NET32'!A29</f>
        <v xml:space="preserve">07-Trivial method calls: Interface NoOp </v>
      </c>
      <c r="B29" s="4">
        <v>1</v>
      </c>
      <c r="C29" s="4">
        <f>'.NET32StoreNative'!$C29/'.NET64StoreNative'!$C29</f>
        <v>1</v>
      </c>
    </row>
    <row r="30" spans="1:3" x14ac:dyDescent="0.25">
      <c r="A30" t="str">
        <f>'.NET32'!A30</f>
        <v xml:space="preserve">07-Trivial method calls: No-inline NoOp </v>
      </c>
      <c r="B30" s="4">
        <v>1</v>
      </c>
      <c r="C30" s="4">
        <f>'.NET32StoreNative'!$C30/'.NET64StoreNative'!$C30</f>
        <v>1.2</v>
      </c>
    </row>
    <row r="31" spans="1:3" x14ac:dyDescent="0.25">
      <c r="A31" t="str">
        <f>'.NET32'!A31</f>
        <v xml:space="preserve">07-Trivial method calls: Static NoOp    </v>
      </c>
      <c r="B31" s="4">
        <v>1</v>
      </c>
      <c r="C31" s="4" t="s">
        <v>77</v>
      </c>
    </row>
    <row r="32" spans="1:3" x14ac:dyDescent="0.25">
      <c r="A32" t="str">
        <f>'.NET32'!A32</f>
        <v xml:space="preserve">07-Trivial method calls: Virtual NoOp   </v>
      </c>
      <c r="B32" s="4">
        <v>1</v>
      </c>
      <c r="C32" s="4">
        <f>'.NET32StoreNative'!$C32/'.NET64StoreNative'!$C32</f>
        <v>1.1599999999999999</v>
      </c>
    </row>
    <row r="33" spans="1:3" x14ac:dyDescent="0.25">
      <c r="A33" t="str">
        <f>'.NET32'!A33</f>
        <v xml:space="preserve">08-Matrix multiply: &lt;double&gt;[n][n]      </v>
      </c>
      <c r="B33" s="4">
        <v>1</v>
      </c>
      <c r="C33" s="4">
        <f>'.NET32StoreNative'!$C33/'.NET64StoreNative'!$C33</f>
        <v>1.2855464159811987</v>
      </c>
    </row>
    <row r="34" spans="1:3" x14ac:dyDescent="0.25">
      <c r="A34" t="str">
        <f>'.NET32'!A34</f>
        <v xml:space="preserve">08-Matrix multiply: &lt;float&gt;[n][n]       </v>
      </c>
      <c r="B34" s="4">
        <v>1</v>
      </c>
      <c r="C34" s="4">
        <f>'.NET32StoreNative'!$C34/'.NET64StoreNative'!$C34</f>
        <v>1.2419562419562418</v>
      </c>
    </row>
    <row r="35" spans="1:3" x14ac:dyDescent="0.25">
      <c r="A35" t="str">
        <f>'.NET32'!A35</f>
        <v xml:space="preserve">08-Matrix multiply: &lt;int&gt;[n][n]         </v>
      </c>
      <c r="B35" s="4">
        <v>1</v>
      </c>
      <c r="C35" s="4">
        <f>'.NET32StoreNative'!$C35/'.NET64StoreNative'!$C35</f>
        <v>2.376599634369287</v>
      </c>
    </row>
    <row r="36" spans="1:3" x14ac:dyDescent="0.25">
      <c r="A36" t="str">
        <f>'.NET32'!A36</f>
        <v xml:space="preserve">08-Matrix multiply: Array2D&lt;double&gt;     </v>
      </c>
      <c r="B36" s="4">
        <v>1</v>
      </c>
      <c r="C36" s="4">
        <f>'.NET32StoreNative'!$C36/'.NET64StoreNative'!$C36</f>
        <v>1.9895833333333333</v>
      </c>
    </row>
    <row r="37" spans="1:3" x14ac:dyDescent="0.25">
      <c r="A37" t="str">
        <f>'.NET32'!A37</f>
        <v xml:space="preserve">08-Matrix multiply: double[n*n]         </v>
      </c>
      <c r="B37" s="4">
        <v>1</v>
      </c>
      <c r="C37" s="4">
        <f>'.NET32StoreNative'!$C37/'.NET64StoreNative'!$C37</f>
        <v>1.2982673267326732</v>
      </c>
    </row>
    <row r="38" spans="1:3" x14ac:dyDescent="0.25">
      <c r="A38" t="str">
        <f>'.NET32'!A38</f>
        <v xml:space="preserve">08-Matrix multiply: double[n][n]        </v>
      </c>
      <c r="B38" s="4">
        <v>1</v>
      </c>
      <c r="C38" s="4">
        <f>'.NET32StoreNative'!$C38/'.NET64StoreNative'!$C38</f>
        <v>1.0035128805620608</v>
      </c>
    </row>
    <row r="39" spans="1:3" x14ac:dyDescent="0.25">
      <c r="A39" t="str">
        <f>'.NET32'!A39</f>
        <v xml:space="preserve">08-Matrix multiply: int[n][n]           </v>
      </c>
      <c r="B39" s="4">
        <v>1</v>
      </c>
      <c r="C39" s="4">
        <f>'.NET32StoreNative'!$C39/'.NET64StoreNative'!$C39</f>
        <v>2.3654545454545453</v>
      </c>
    </row>
    <row r="40" spans="1:3" x14ac:dyDescent="0.25">
      <c r="A40" t="str">
        <f>'.NET32'!A40</f>
        <v xml:space="preserve">09-Sudoku                               </v>
      </c>
      <c r="B40" s="4">
        <v>1</v>
      </c>
      <c r="C40" s="4">
        <f>'.NET32StoreNative'!$C40/'.NET64StoreNative'!$C40</f>
        <v>1.1318468250121181</v>
      </c>
    </row>
    <row r="41" spans="1:3" x14ac:dyDescent="0.25">
      <c r="A41" t="str">
        <f>'.NET32'!A41</f>
        <v xml:space="preserve">10-Polynomials                          </v>
      </c>
      <c r="B41" s="4">
        <v>1</v>
      </c>
      <c r="C41" s="4">
        <f>'.NET32StoreNative'!$C41/'.NET64StoreNative'!$C41</f>
        <v>0.98751300728407909</v>
      </c>
    </row>
    <row r="42" spans="1:3" x14ac:dyDescent="0.25">
      <c r="A42" t="str">
        <f>'.NET32'!A42</f>
        <v xml:space="preserve">11-JGFArithBench                        </v>
      </c>
      <c r="B42" s="4">
        <v>1</v>
      </c>
      <c r="C42" s="4">
        <f>'.NET32StoreNative'!$C42/'.NET64StoreNative'!$C42</f>
        <v>0.60714285714285721</v>
      </c>
    </row>
    <row r="43" spans="1:3" x14ac:dyDescent="0.25">
      <c r="A43" t="str">
        <f>'.NET32'!A43</f>
        <v xml:space="preserve">12-JGFAssignBench                       </v>
      </c>
      <c r="B43" s="4">
        <v>1</v>
      </c>
      <c r="C43" s="4">
        <f>'.NET32StoreNative'!$C43/'.NET64StoreNative'!$C43</f>
        <v>0.86328555678059538</v>
      </c>
    </row>
    <row r="44" spans="1:3" x14ac:dyDescent="0.25">
      <c r="A44" t="str">
        <f>'.NET32'!A44</f>
        <v xml:space="preserve">13-JGFCastBench                         </v>
      </c>
      <c r="B44" s="4">
        <v>1</v>
      </c>
      <c r="C44" s="4">
        <f>'.NET32StoreNative'!$C44/'.NET64StoreNative'!$C44</f>
        <v>1.5651644336175397</v>
      </c>
    </row>
    <row r="45" spans="1:3" x14ac:dyDescent="0.25">
      <c r="A45" t="str">
        <f>'.NET32'!A45</f>
        <v xml:space="preserve">14-JGFCreateBench                       </v>
      </c>
      <c r="B45" s="4">
        <v>1</v>
      </c>
      <c r="C45" s="4">
        <f>'.NET32StoreNative'!$C45/'.NET64StoreNative'!$C45</f>
        <v>0.93436578171091433</v>
      </c>
    </row>
    <row r="46" spans="1:3" x14ac:dyDescent="0.25">
      <c r="A46" t="str">
        <f>'.NET32'!A46</f>
        <v xml:space="preserve">15-JGFFFTBench                          </v>
      </c>
      <c r="B46" s="4">
        <v>1</v>
      </c>
      <c r="C46" s="4">
        <f>'.NET32StoreNative'!$C46/'.NET64StoreNative'!$C46</f>
        <v>1.053486797562627</v>
      </c>
    </row>
    <row r="47" spans="1:3" x14ac:dyDescent="0.25">
      <c r="A47" t="str">
        <f>'.NET32'!A47</f>
        <v xml:space="preserve">16-JGFHeapSortBench                     </v>
      </c>
      <c r="B47" s="4">
        <v>1</v>
      </c>
      <c r="C47" s="4">
        <f>'.NET32StoreNative'!$C47/'.NET64StoreNative'!$C47</f>
        <v>1.0770750988142292</v>
      </c>
    </row>
    <row r="48" spans="1:3" x14ac:dyDescent="0.25">
      <c r="A48" t="str">
        <f>'.NET32'!A48</f>
        <v xml:space="preserve">17-JGFLoopBench                         </v>
      </c>
      <c r="B48" s="4">
        <v>1</v>
      </c>
      <c r="C48" s="4">
        <f>'.NET32StoreNative'!$C48/'.NET64StoreNative'!$C48</f>
        <v>0.97139303482587058</v>
      </c>
    </row>
    <row r="49" spans="1:3" x14ac:dyDescent="0.25">
      <c r="A49" t="str">
        <f>'.NET32'!A49</f>
        <v xml:space="preserve">18-JGFRayTracerBench                    </v>
      </c>
      <c r="B49" s="4">
        <v>1</v>
      </c>
      <c r="C49" s="4">
        <f>'.NET32StoreNative'!$C49/'.NET64StoreNative'!$C49</f>
        <v>1.0706910246227166</v>
      </c>
    </row>
    <row r="50" spans="1:3" x14ac:dyDescent="0.25">
      <c r="A50" t="str">
        <f>'.NET32'!A50</f>
        <v>19-float4x4 matrix mul, Managed Standard</v>
      </c>
      <c r="B50" s="4">
        <v>1</v>
      </c>
      <c r="C50" s="4">
        <f>'.NET32StoreNative'!$C50/'.NET64StoreNative'!$C50</f>
        <v>1.3419203747072599</v>
      </c>
    </row>
    <row r="51" spans="1:3" x14ac:dyDescent="0.25">
      <c r="A51" t="str">
        <f>'.NET32'!A51</f>
        <v xml:space="preserve">20-float4x4 matrix mul, Managed unsafe  </v>
      </c>
      <c r="B51" s="4">
        <v>1</v>
      </c>
      <c r="C51" s="4">
        <f>'.NET32StoreNative'!$C51/'.NET64StoreNative'!$C51</f>
        <v>1.0219298245614035</v>
      </c>
    </row>
    <row r="52" spans="1:3" x14ac:dyDescent="0.25">
      <c r="A52" t="str">
        <f>'.NET32'!A52</f>
        <v>21-float4x4 matrix mul, Interop Standard</v>
      </c>
      <c r="B52" s="4">
        <v>1</v>
      </c>
      <c r="C52" s="4">
        <f>'.NET32StoreNative'!$C52/'.NET64StoreNative'!$C52</f>
        <v>1.0902366863905324</v>
      </c>
    </row>
    <row r="53" spans="1:3" x14ac:dyDescent="0.25">
      <c r="A53" t="str">
        <f>'.NET32'!A53</f>
        <v xml:space="preserve">22-float4x4 matrix mul, Interop SSE2    </v>
      </c>
      <c r="B53" s="4">
        <v>1</v>
      </c>
      <c r="C53" s="4">
        <f>'.NET32StoreNative'!$C53/'.NET64StoreNative'!$C53</f>
        <v>1.1526479750778815</v>
      </c>
    </row>
    <row r="54" spans="1:3" x14ac:dyDescent="0.25">
      <c r="A54" t="str">
        <f>'.NET32'!A54</f>
        <v xml:space="preserve">23-managed add                          </v>
      </c>
      <c r="B54" s="4">
        <v>1</v>
      </c>
      <c r="C54" s="4">
        <f>'.NET32StoreNative'!$C54/'.NET64StoreNative'!$C54</f>
        <v>0.15584415584415584</v>
      </c>
    </row>
    <row r="55" spans="1:3" x14ac:dyDescent="0.25">
      <c r="A55" t="str">
        <f>'.NET32'!A55</f>
        <v xml:space="preserve">24-managed no-inline add                </v>
      </c>
      <c r="B55" s="4">
        <v>1</v>
      </c>
      <c r="C55" s="4">
        <f>'.NET32StoreNative'!$C55/'.NET64StoreNative'!$C55</f>
        <v>1.3461538461538463</v>
      </c>
    </row>
    <row r="56" spans="1:3" x14ac:dyDescent="0.25">
      <c r="A56" t="str">
        <f>'.NET32'!A56</f>
        <v xml:space="preserve">25-interop add                          </v>
      </c>
      <c r="B56" s="4">
        <v>1</v>
      </c>
      <c r="C56" s="4">
        <f>'.NET32StoreNative'!$C56/'.NET64StoreNative'!$C56</f>
        <v>1.1463414634146341</v>
      </c>
    </row>
    <row r="57" spans="1:3" x14ac:dyDescent="0.25">
      <c r="A57" t="str">
        <f>'.NET32'!A57</f>
        <v xml:space="preserve">26-interop indirect add                 </v>
      </c>
      <c r="B57" s="4">
        <v>1</v>
      </c>
      <c r="C57" s="4">
        <f>'.NET32StoreNative'!$C57/'.NET64StoreNative'!$C57</f>
        <v>1.1463414634146341</v>
      </c>
    </row>
  </sheetData>
  <conditionalFormatting sqref="D1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5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5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5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5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5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5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5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5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5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5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5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5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P5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:AQ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:AR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:AS5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:AT5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:AV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:AW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:AX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Y5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:AZ5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:BA5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:BB5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1:BC5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1:BD5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1:BE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5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5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5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5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5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5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5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5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5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5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5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5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5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5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5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5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5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5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5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5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5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5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5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5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5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5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5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5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5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5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P5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:AQ5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8:E58 B58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57">
    <cfRule type="cellIs" dxfId="7" priority="9" operator="lessThanOrEqual">
      <formula>0.9</formula>
    </cfRule>
    <cfRule type="cellIs" dxfId="6" priority="10" operator="greaterThanOrEqual">
      <formula>1.1</formula>
    </cfRule>
  </conditionalFormatting>
  <conditionalFormatting sqref="B58 D58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58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58">
    <cfRule type="colorScale" priority="4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57">
    <cfRule type="cellIs" dxfId="5" priority="1" operator="lessThanOrEqual">
      <formula>0.9</formula>
    </cfRule>
    <cfRule type="cellIs" dxfId="4" priority="2" operator="greaterThanOrEqual">
      <formula>1.1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7"/>
  <sheetViews>
    <sheetView workbookViewId="0"/>
  </sheetViews>
  <sheetFormatPr baseColWidth="10" defaultRowHeight="15" x14ac:dyDescent="0.25"/>
  <cols>
    <col min="1" max="1" width="39" bestFit="1" customWidth="1"/>
    <col min="2" max="2" width="10.7109375" bestFit="1" customWidth="1"/>
    <col min="3" max="3" width="13.5703125" bestFit="1" customWidth="1"/>
  </cols>
  <sheetData>
    <row r="1" spans="1:3" ht="45" x14ac:dyDescent="0.25">
      <c r="A1" s="7" t="s">
        <v>69</v>
      </c>
      <c r="B1" s="6" t="s">
        <v>80</v>
      </c>
      <c r="C1" s="6" t="s">
        <v>81</v>
      </c>
    </row>
    <row r="2" spans="1:3" x14ac:dyDescent="0.25">
      <c r="A2" s="2" t="str">
        <f>'.NET32'!A2</f>
        <v xml:space="preserve">00-Big int Dictionary: 1 Adding items   </v>
      </c>
      <c r="B2" s="4">
        <v>1</v>
      </c>
      <c r="C2" s="4">
        <f>'.NET64StoreNative'!$C2/'.NET64RyuJit'!$C2</f>
        <v>1.0208333333333333</v>
      </c>
    </row>
    <row r="3" spans="1:3" x14ac:dyDescent="0.25">
      <c r="A3" t="str">
        <f>'.NET32'!A3</f>
        <v>00-Big int Dictionary: 2 Running queries</v>
      </c>
      <c r="B3" s="4">
        <v>1</v>
      </c>
      <c r="C3" s="4">
        <f>'.NET64StoreNative'!$C3/'.NET64RyuJit'!$C3</f>
        <v>0.95238095238095233</v>
      </c>
    </row>
    <row r="4" spans="1:3" x14ac:dyDescent="0.25">
      <c r="A4" t="str">
        <f>'.NET32'!A4</f>
        <v xml:space="preserve">00-Big int Dictionary: 3 Removing items </v>
      </c>
      <c r="B4" s="4">
        <v>1</v>
      </c>
      <c r="C4" s="4">
        <f>'.NET64StoreNative'!$C4/'.NET64RyuJit'!$C4</f>
        <v>1</v>
      </c>
    </row>
    <row r="5" spans="1:3" x14ac:dyDescent="0.25">
      <c r="A5" t="str">
        <f>'.NET32'!A5</f>
        <v>01-Big string Dictionary: 0 Ints to strings</v>
      </c>
      <c r="B5" s="4">
        <v>1</v>
      </c>
      <c r="C5" s="4">
        <f>'.NET64StoreNative'!$C5/'.NET64RyuJit'!$C5</f>
        <v>1.3805309734513274</v>
      </c>
    </row>
    <row r="6" spans="1:3" x14ac:dyDescent="0.25">
      <c r="A6" t="str">
        <f>'.NET32'!A6</f>
        <v>01-Big string Dictionary: 1 Adding/setting</v>
      </c>
      <c r="B6" s="4">
        <v>1</v>
      </c>
      <c r="C6" s="4">
        <f>'.NET64StoreNative'!$C6/'.NET64RyuJit'!$C6</f>
        <v>1.1749999999999998</v>
      </c>
    </row>
    <row r="7" spans="1:3" x14ac:dyDescent="0.25">
      <c r="A7" t="str">
        <f>'.NET32'!A7</f>
        <v>01-Big string Dictionary: 2 Running queries</v>
      </c>
      <c r="B7" s="4">
        <v>1</v>
      </c>
      <c r="C7" s="4">
        <f>'.NET64StoreNative'!$C7/'.NET64RyuJit'!$C7</f>
        <v>1.0524193548387097</v>
      </c>
    </row>
    <row r="8" spans="1:3" x14ac:dyDescent="0.25">
      <c r="A8" t="str">
        <f>'.NET32'!A8</f>
        <v>01-Big string Dictionary: 3 Removing items</v>
      </c>
      <c r="B8" s="4">
        <v>1</v>
      </c>
      <c r="C8" s="4">
        <f>'.NET64StoreNative'!$C8/'.NET64RyuJit'!$C8</f>
        <v>1.0982905982905982</v>
      </c>
    </row>
    <row r="9" spans="1:3" x14ac:dyDescent="0.25">
      <c r="A9" t="str">
        <f>'.NET32'!A9</f>
        <v xml:space="preserve">02-Big int sorted map: 1 Adding items   </v>
      </c>
      <c r="B9" s="4">
        <v>1</v>
      </c>
      <c r="C9" s="4">
        <f>'.NET64StoreNative'!$C9/'.NET64RyuJit'!$C9</f>
        <v>0.94092465753424659</v>
      </c>
    </row>
    <row r="10" spans="1:3" x14ac:dyDescent="0.25">
      <c r="A10" t="str">
        <f>'.NET32'!A10</f>
        <v>02-Big int sorted map: 2 Running queries</v>
      </c>
      <c r="B10" s="4">
        <v>1</v>
      </c>
      <c r="C10" s="4">
        <f>'.NET64StoreNative'!$C10/'.NET64RyuJit'!$C10</f>
        <v>0.91489361702127647</v>
      </c>
    </row>
    <row r="11" spans="1:3" x14ac:dyDescent="0.25">
      <c r="A11" t="str">
        <f>'.NET32'!A11</f>
        <v xml:space="preserve">02-Big int sorted map: 3 Removing items </v>
      </c>
      <c r="B11" s="4">
        <v>1</v>
      </c>
      <c r="C11" s="4">
        <f>'.NET64StoreNative'!$C11/'.NET64RyuJit'!$C11</f>
        <v>1.1418439716312059</v>
      </c>
    </row>
    <row r="12" spans="1:3" x14ac:dyDescent="0.25">
      <c r="A12" t="str">
        <f>'.NET32'!A12</f>
        <v xml:space="preserve">03-Square root: double                  </v>
      </c>
      <c r="B12" s="4">
        <v>1</v>
      </c>
      <c r="C12" s="4">
        <f>'.NET64StoreNative'!$C12/'.NET64RyuJit'!$C12</f>
        <v>1</v>
      </c>
    </row>
    <row r="13" spans="1:3" x14ac:dyDescent="0.25">
      <c r="A13" t="str">
        <f>'.NET32'!A13</f>
        <v xml:space="preserve">03-Square root: FPL16                   </v>
      </c>
      <c r="B13" s="4">
        <v>1</v>
      </c>
      <c r="C13" s="4">
        <f>'.NET64StoreNative'!$C13/'.NET64RyuJit'!$C13</f>
        <v>0.89473684210526305</v>
      </c>
    </row>
    <row r="14" spans="1:3" x14ac:dyDescent="0.25">
      <c r="A14" t="str">
        <f>'.NET32'!A14</f>
        <v xml:space="preserve">03-Square root: uint                    </v>
      </c>
      <c r="B14" s="4">
        <v>1</v>
      </c>
      <c r="C14" s="4">
        <f>'.NET64StoreNative'!$C14/'.NET64RyuJit'!$C14</f>
        <v>0.97142857142857142</v>
      </c>
    </row>
    <row r="15" spans="1:3" x14ac:dyDescent="0.25">
      <c r="A15" t="str">
        <f>'.NET32'!A15</f>
        <v xml:space="preserve">03-Square root: ulong                   </v>
      </c>
      <c r="B15" s="4">
        <v>1</v>
      </c>
      <c r="C15" s="4">
        <f>'.NET64StoreNative'!$C15/'.NET64RyuJit'!$C15</f>
        <v>0.8292682926829269</v>
      </c>
    </row>
    <row r="16" spans="1:3" x14ac:dyDescent="0.25">
      <c r="A16" t="str">
        <f>'.NET32'!A16</f>
        <v xml:space="preserve">04-Simple arithmetic: double            </v>
      </c>
      <c r="B16" s="4">
        <v>1</v>
      </c>
      <c r="C16" s="4">
        <f>'.NET64StoreNative'!$C16/'.NET64RyuJit'!$C16</f>
        <v>0.2627450980392157</v>
      </c>
    </row>
    <row r="17" spans="1:3" x14ac:dyDescent="0.25">
      <c r="A17" t="str">
        <f>'.NET32'!A17</f>
        <v xml:space="preserve">04-Simple arithmetic: float             </v>
      </c>
      <c r="B17" s="4">
        <v>1</v>
      </c>
      <c r="C17" s="4">
        <f>'.NET64StoreNative'!$C17/'.NET64RyuJit'!$C17</f>
        <v>0.72807017543859653</v>
      </c>
    </row>
    <row r="18" spans="1:3" x14ac:dyDescent="0.25">
      <c r="A18" t="str">
        <f>'.NET32'!A18</f>
        <v xml:space="preserve">04-Simple arithmetic: FPI8              </v>
      </c>
      <c r="B18" s="4">
        <v>1</v>
      </c>
      <c r="C18" s="4">
        <f>'.NET64StoreNative'!$C18/'.NET64RyuJit'!$C18</f>
        <v>1.5555555555555558</v>
      </c>
    </row>
    <row r="19" spans="1:3" x14ac:dyDescent="0.25">
      <c r="A19" t="str">
        <f>'.NET32'!A19</f>
        <v xml:space="preserve">04-Simple arithmetic: FPL16             </v>
      </c>
      <c r="B19" s="4">
        <v>1</v>
      </c>
      <c r="C19" s="4">
        <f>'.NET64StoreNative'!$C19/'.NET64RyuJit'!$C19</f>
        <v>4.3055555555555562</v>
      </c>
    </row>
    <row r="20" spans="1:3" x14ac:dyDescent="0.25">
      <c r="A20" t="str">
        <f>'.NET32'!A20</f>
        <v xml:space="preserve">04-Simple arithmetic: int               </v>
      </c>
      <c r="B20" s="4">
        <v>1</v>
      </c>
      <c r="C20" s="4">
        <f>'.NET64StoreNative'!$C20/'.NET64RyuJit'!$C20</f>
        <v>1.0740740740740742</v>
      </c>
    </row>
    <row r="21" spans="1:3" x14ac:dyDescent="0.25">
      <c r="A21" t="str">
        <f>'.NET32'!A21</f>
        <v xml:space="preserve">04-Simple arithmetic: long              </v>
      </c>
      <c r="B21" s="4">
        <v>1</v>
      </c>
      <c r="C21" s="4">
        <f>'.NET64StoreNative'!$C21/'.NET64RyuJit'!$C21</f>
        <v>0.96296296296296291</v>
      </c>
    </row>
    <row r="22" spans="1:3" x14ac:dyDescent="0.25">
      <c r="A22" t="str">
        <f>'.NET32'!A22</f>
        <v xml:space="preserve">05-Generic sum: double                  </v>
      </c>
      <c r="B22" s="4">
        <v>1</v>
      </c>
      <c r="C22" s="4">
        <f>'.NET64StoreNative'!$C22/'.NET64RyuJit'!$C22</f>
        <v>0.99358974358974361</v>
      </c>
    </row>
    <row r="23" spans="1:3" x14ac:dyDescent="0.25">
      <c r="A23" t="str">
        <f>'.NET32'!A23</f>
        <v xml:space="preserve">05-Generic sum: FPI8                    </v>
      </c>
      <c r="B23" s="4">
        <v>1</v>
      </c>
      <c r="C23" s="4">
        <f>'.NET64StoreNative'!$C23/'.NET64RyuJit'!$C23</f>
        <v>0.77564102564102566</v>
      </c>
    </row>
    <row r="24" spans="1:3" x14ac:dyDescent="0.25">
      <c r="A24" t="str">
        <f>'.NET32'!A24</f>
        <v xml:space="preserve">05-Generic sum: int                     </v>
      </c>
      <c r="B24" s="4">
        <v>1</v>
      </c>
      <c r="C24" s="4">
        <f>'.NET64StoreNative'!$C24/'.NET64RyuJit'!$C24</f>
        <v>0.77564102564102566</v>
      </c>
    </row>
    <row r="25" spans="1:3" x14ac:dyDescent="0.25">
      <c r="A25" t="str">
        <f>'.NET32'!A25</f>
        <v xml:space="preserve">05-Generic sum: int via IMath           </v>
      </c>
      <c r="B25" s="4">
        <v>1</v>
      </c>
      <c r="C25" s="4">
        <f>'.NET64StoreNative'!$C25/'.NET64RyuJit'!$C25</f>
        <v>1.5288035450516984</v>
      </c>
    </row>
    <row r="26" spans="1:3" x14ac:dyDescent="0.25">
      <c r="A26" t="str">
        <f>'.NET32'!A26</f>
        <v xml:space="preserve">05-Generic sum: int without generics    </v>
      </c>
      <c r="B26" s="4">
        <v>1</v>
      </c>
      <c r="C26" s="4">
        <f>'.NET64StoreNative'!$C26/'.NET64RyuJit'!$C26</f>
        <v>0.58974358974358976</v>
      </c>
    </row>
    <row r="27" spans="1:3" x14ac:dyDescent="0.25">
      <c r="A27" t="str">
        <f>'.NET32'!A27</f>
        <v xml:space="preserve">06-Simple parsing: 3 Parse (x1000000)   </v>
      </c>
      <c r="B27" s="4">
        <v>1</v>
      </c>
      <c r="C27" s="4">
        <f>'.NET64StoreNative'!$C27/'.NET64RyuJit'!$C27</f>
        <v>2</v>
      </c>
    </row>
    <row r="28" spans="1:3" x14ac:dyDescent="0.25">
      <c r="A28" t="str">
        <f>'.NET32'!A28</f>
        <v xml:space="preserve">06-Simple parsing: 4 Sort (x1000000)    </v>
      </c>
      <c r="B28" s="4">
        <v>1</v>
      </c>
      <c r="C28" s="4">
        <f>'.NET64StoreNative'!$C28/'.NET64RyuJit'!$C28</f>
        <v>0.72972972972972971</v>
      </c>
    </row>
    <row r="29" spans="1:3" x14ac:dyDescent="0.25">
      <c r="A29" t="str">
        <f>'.NET32'!A29</f>
        <v xml:space="preserve">07-Trivial method calls: Interface NoOp </v>
      </c>
      <c r="B29" s="4">
        <v>1</v>
      </c>
      <c r="C29" s="4">
        <f>'.NET64StoreNative'!$C29/'.NET64RyuJit'!$C29</f>
        <v>1.24390243902439</v>
      </c>
    </row>
    <row r="30" spans="1:3" x14ac:dyDescent="0.25">
      <c r="A30" t="str">
        <f>'.NET32'!A30</f>
        <v xml:space="preserve">07-Trivial method calls: No-inline NoOp </v>
      </c>
      <c r="B30" s="4">
        <v>1</v>
      </c>
      <c r="C30" s="4">
        <f>'.NET64StoreNative'!$C30/'.NET64RyuJit'!$C30</f>
        <v>1</v>
      </c>
    </row>
    <row r="31" spans="1:3" x14ac:dyDescent="0.25">
      <c r="A31" t="str">
        <f>'.NET32'!A31</f>
        <v xml:space="preserve">07-Trivial method calls: Static NoOp    </v>
      </c>
      <c r="B31" s="4">
        <v>1</v>
      </c>
      <c r="C31" s="4">
        <f>'.NET64StoreNative'!$C31/'.NET64RyuJit'!$C31</f>
        <v>0</v>
      </c>
    </row>
    <row r="32" spans="1:3" x14ac:dyDescent="0.25">
      <c r="A32" t="str">
        <f>'.NET32'!A32</f>
        <v xml:space="preserve">07-Trivial method calls: Virtual NoOp   </v>
      </c>
      <c r="B32" s="4">
        <v>1</v>
      </c>
      <c r="C32" s="4">
        <f>'.NET64StoreNative'!$C32/'.NET64RyuJit'!$C32</f>
        <v>0.80645161290322587</v>
      </c>
    </row>
    <row r="33" spans="1:3" x14ac:dyDescent="0.25">
      <c r="A33" t="str">
        <f>'.NET32'!A33</f>
        <v xml:space="preserve">08-Matrix multiply: &lt;double&gt;[n][n]      </v>
      </c>
      <c r="B33" s="4">
        <v>1</v>
      </c>
      <c r="C33" s="4">
        <f>'.NET64StoreNative'!$C33/'.NET64RyuJit'!$C33</f>
        <v>1.0265379975874549</v>
      </c>
    </row>
    <row r="34" spans="1:3" x14ac:dyDescent="0.25">
      <c r="A34" t="str">
        <f>'.NET32'!A34</f>
        <v xml:space="preserve">08-Matrix multiply: &lt;float&gt;[n][n]       </v>
      </c>
      <c r="B34" s="4">
        <v>1</v>
      </c>
      <c r="C34" s="4">
        <f>'.NET64StoreNative'!$C34/'.NET64RyuJit'!$C34</f>
        <v>0.98729351969504442</v>
      </c>
    </row>
    <row r="35" spans="1:3" x14ac:dyDescent="0.25">
      <c r="A35" t="str">
        <f>'.NET32'!A35</f>
        <v xml:space="preserve">08-Matrix multiply: &lt;int&gt;[n][n]         </v>
      </c>
      <c r="B35" s="4">
        <v>1</v>
      </c>
      <c r="C35" s="4">
        <f>'.NET64StoreNative'!$C35/'.NET64RyuJit'!$C35</f>
        <v>0.86277602523659314</v>
      </c>
    </row>
    <row r="36" spans="1:3" x14ac:dyDescent="0.25">
      <c r="A36" t="str">
        <f>'.NET32'!A36</f>
        <v xml:space="preserve">08-Matrix multiply: Array2D&lt;double&gt;     </v>
      </c>
      <c r="B36" s="4">
        <v>1</v>
      </c>
      <c r="C36" s="4">
        <f>'.NET64StoreNative'!$C36/'.NET64RyuJit'!$C36</f>
        <v>0.7185628742514969</v>
      </c>
    </row>
    <row r="37" spans="1:3" x14ac:dyDescent="0.25">
      <c r="A37" t="str">
        <f>'.NET32'!A37</f>
        <v xml:space="preserve">08-Matrix multiply: double[n*n]         </v>
      </c>
      <c r="B37" s="4">
        <v>1</v>
      </c>
      <c r="C37" s="4">
        <f>'.NET64StoreNative'!$C37/'.NET64RyuJit'!$C37</f>
        <v>0.99019607843137269</v>
      </c>
    </row>
    <row r="38" spans="1:3" x14ac:dyDescent="0.25">
      <c r="A38" t="str">
        <f>'.NET32'!A38</f>
        <v xml:space="preserve">08-Matrix multiply: double[n][n]        </v>
      </c>
      <c r="B38" s="4">
        <v>1</v>
      </c>
      <c r="C38" s="4">
        <f>'.NET64StoreNative'!$C38/'.NET64RyuJit'!$C38</f>
        <v>1.022754491017964</v>
      </c>
    </row>
    <row r="39" spans="1:3" x14ac:dyDescent="0.25">
      <c r="A39" t="str">
        <f>'.NET32'!A39</f>
        <v xml:space="preserve">08-Matrix multiply: int[n][n]           </v>
      </c>
      <c r="B39" s="4">
        <v>1</v>
      </c>
      <c r="C39" s="4">
        <f>'.NET64StoreNative'!$C39/'.NET64RyuJit'!$C39</f>
        <v>0.94017094017094027</v>
      </c>
    </row>
    <row r="40" spans="1:3" x14ac:dyDescent="0.25">
      <c r="A40" t="str">
        <f>'.NET32'!A40</f>
        <v xml:space="preserve">09-Sudoku                               </v>
      </c>
      <c r="B40" s="4">
        <v>1</v>
      </c>
      <c r="C40" s="4">
        <f>'.NET64StoreNative'!$C40/'.NET64RyuJit'!$C40</f>
        <v>1.0728029121164848</v>
      </c>
    </row>
    <row r="41" spans="1:3" x14ac:dyDescent="0.25">
      <c r="A41" t="str">
        <f>'.NET32'!A41</f>
        <v xml:space="preserve">10-Polynomials                          </v>
      </c>
      <c r="B41" s="4">
        <v>1</v>
      </c>
      <c r="C41" s="4">
        <f>'.NET64StoreNative'!$C41/'.NET64RyuJit'!$C41</f>
        <v>1.0502732240437158</v>
      </c>
    </row>
    <row r="42" spans="1:3" x14ac:dyDescent="0.25">
      <c r="A42" t="str">
        <f>'.NET32'!A42</f>
        <v xml:space="preserve">11-JGFArithBench                        </v>
      </c>
      <c r="B42" s="4">
        <v>1</v>
      </c>
      <c r="C42" s="4">
        <f>'.NET64StoreNative'!$C42/'.NET64RyuJit'!$C42</f>
        <v>1.0980392156862746</v>
      </c>
    </row>
    <row r="43" spans="1:3" x14ac:dyDescent="0.25">
      <c r="A43" t="str">
        <f>'.NET32'!A43</f>
        <v xml:space="preserve">12-JGFAssignBench                       </v>
      </c>
      <c r="B43" s="4">
        <v>1</v>
      </c>
      <c r="C43" s="4">
        <f>'.NET64StoreNative'!$C43/'.NET64RyuJit'!$C43</f>
        <v>0.5239745811669555</v>
      </c>
    </row>
    <row r="44" spans="1:3" x14ac:dyDescent="0.25">
      <c r="A44" t="str">
        <f>'.NET32'!A44</f>
        <v xml:space="preserve">13-JGFCastBench                         </v>
      </c>
      <c r="B44" s="4">
        <v>1</v>
      </c>
      <c r="C44" s="4">
        <f>'.NET64StoreNative'!$C44/'.NET64RyuJit'!$C44</f>
        <v>1.4034188034188033</v>
      </c>
    </row>
    <row r="45" spans="1:3" x14ac:dyDescent="0.25">
      <c r="A45" t="str">
        <f>'.NET32'!A45</f>
        <v xml:space="preserve">14-JGFCreateBench                       </v>
      </c>
      <c r="B45" s="4">
        <v>1</v>
      </c>
      <c r="C45" s="4">
        <f>'.NET64StoreNative'!$C45/'.NET64RyuJit'!$C45</f>
        <v>1.2316076294277931</v>
      </c>
    </row>
    <row r="46" spans="1:3" x14ac:dyDescent="0.25">
      <c r="A46" t="str">
        <f>'.NET32'!A46</f>
        <v xml:space="preserve">15-JGFFFTBench                          </v>
      </c>
      <c r="B46" s="4">
        <v>1</v>
      </c>
      <c r="C46" s="4">
        <f>'.NET64StoreNative'!$C46/'.NET64RyuJit'!$C46</f>
        <v>0.97814569536423845</v>
      </c>
    </row>
    <row r="47" spans="1:3" x14ac:dyDescent="0.25">
      <c r="A47" t="str">
        <f>'.NET32'!A47</f>
        <v xml:space="preserve">16-JGFHeapSortBench                     </v>
      </c>
      <c r="B47" s="4">
        <v>1</v>
      </c>
      <c r="C47" s="4">
        <f>'.NET64StoreNative'!$C47/'.NET64RyuJit'!$C47</f>
        <v>0.97589199614271949</v>
      </c>
    </row>
    <row r="48" spans="1:3" x14ac:dyDescent="0.25">
      <c r="A48" t="str">
        <f>'.NET32'!A48</f>
        <v xml:space="preserve">17-JGFLoopBench                         </v>
      </c>
      <c r="B48" s="4">
        <v>1</v>
      </c>
      <c r="C48" s="4">
        <f>'.NET64StoreNative'!$C48/'.NET64RyuJit'!$C48</f>
        <v>0.93271461716937365</v>
      </c>
    </row>
    <row r="49" spans="1:3" x14ac:dyDescent="0.25">
      <c r="A49" t="str">
        <f>'.NET32'!A49</f>
        <v xml:space="preserve">18-JGFRayTracerBench                    </v>
      </c>
      <c r="B49" s="4">
        <v>1</v>
      </c>
      <c r="C49" s="4">
        <f>'.NET64StoreNative'!$C49/'.NET64RyuJit'!$C49</f>
        <v>1.2966014418125642</v>
      </c>
    </row>
    <row r="50" spans="1:3" x14ac:dyDescent="0.25">
      <c r="A50" t="str">
        <f>'.NET32'!A50</f>
        <v>19-float4x4 matrix mul, Managed Standard</v>
      </c>
      <c r="B50" s="4">
        <v>1</v>
      </c>
      <c r="C50" s="4">
        <f>'.NET64StoreNative'!$C50/'.NET64RyuJit'!$C50</f>
        <v>1.3058103975535167</v>
      </c>
    </row>
    <row r="51" spans="1:3" x14ac:dyDescent="0.25">
      <c r="A51" t="str">
        <f>'.NET32'!A51</f>
        <v xml:space="preserve">20-float4x4 matrix mul, Managed unsafe  </v>
      </c>
      <c r="B51" s="4">
        <v>1</v>
      </c>
      <c r="C51" s="4">
        <f>'.NET64StoreNative'!$C51/'.NET64RyuJit'!$C51</f>
        <v>1.1158238172920065</v>
      </c>
    </row>
    <row r="52" spans="1:3" x14ac:dyDescent="0.25">
      <c r="A52" t="str">
        <f>'.NET32'!A52</f>
        <v>21-float4x4 matrix mul, Interop Standard</v>
      </c>
      <c r="B52" s="4">
        <v>1</v>
      </c>
      <c r="C52" s="4">
        <f>'.NET64StoreNative'!$C52/'.NET64RyuJit'!$C52</f>
        <v>0.7093389296956979</v>
      </c>
    </row>
    <row r="53" spans="1:3" x14ac:dyDescent="0.25">
      <c r="A53" t="str">
        <f>'.NET32'!A53</f>
        <v xml:space="preserve">22-float4x4 matrix mul, Interop SSE2    </v>
      </c>
      <c r="B53" s="4">
        <v>1</v>
      </c>
      <c r="C53" s="4">
        <f>'.NET64StoreNative'!$C53/'.NET64RyuJit'!$C53</f>
        <v>0.54591836734693877</v>
      </c>
    </row>
    <row r="54" spans="1:3" x14ac:dyDescent="0.25">
      <c r="A54" t="str">
        <f>'.NET32'!A54</f>
        <v xml:space="preserve">23-managed add                          </v>
      </c>
      <c r="B54" s="4">
        <v>1</v>
      </c>
      <c r="C54" s="4">
        <f>'.NET64StoreNative'!$C54/'.NET64RyuJit'!$C54</f>
        <v>4.0526315789473681</v>
      </c>
    </row>
    <row r="55" spans="1:3" x14ac:dyDescent="0.25">
      <c r="A55" t="str">
        <f>'.NET32'!A55</f>
        <v xml:space="preserve">24-managed no-inline add                </v>
      </c>
      <c r="B55" s="4">
        <v>1</v>
      </c>
      <c r="C55" s="4">
        <f>'.NET64StoreNative'!$C55/'.NET64RyuJit'!$C55</f>
        <v>0.67532467532467533</v>
      </c>
    </row>
    <row r="56" spans="1:3" x14ac:dyDescent="0.25">
      <c r="A56" t="str">
        <f>'.NET32'!A56</f>
        <v xml:space="preserve">25-interop add                          </v>
      </c>
      <c r="B56" s="4">
        <v>1</v>
      </c>
      <c r="C56" s="4">
        <f>'.NET64StoreNative'!$C56/'.NET64RyuJit'!$C56</f>
        <v>0.94615384615384612</v>
      </c>
    </row>
    <row r="57" spans="1:3" x14ac:dyDescent="0.25">
      <c r="A57" t="str">
        <f>'.NET32'!A57</f>
        <v xml:space="preserve">26-interop indirect add                 </v>
      </c>
      <c r="B57" s="4">
        <v>1</v>
      </c>
      <c r="C57" s="4">
        <f>'.NET64StoreNative'!$C57/'.NET64RyuJit'!$C57</f>
        <v>0.29782082324455206</v>
      </c>
    </row>
  </sheetData>
  <conditionalFormatting sqref="B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57">
    <cfRule type="cellIs" dxfId="3" priority="6" operator="lessThanOrEqual">
      <formula>0.9</formula>
    </cfRule>
    <cfRule type="cellIs" dxfId="2" priority="7" operator="greaterThanOrEqual">
      <formula>1.1</formula>
    </cfRule>
  </conditionalFormatting>
  <conditionalFormatting sqref="C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57">
    <cfRule type="cellIs" dxfId="1" priority="1" operator="lessThanOrEqual">
      <formula>0.9</formula>
    </cfRule>
    <cfRule type="cellIs" dxfId="0" priority="2" operator="greaterThanOrEqual">
      <formula>1.1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5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1" max="1" width="39" bestFit="1" customWidth="1"/>
    <col min="2" max="2" width="3" bestFit="1" customWidth="1"/>
    <col min="10" max="10" width="40.425781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8" x14ac:dyDescent="0.25">
      <c r="A2" t="s">
        <v>7</v>
      </c>
      <c r="B2">
        <v>8</v>
      </c>
      <c r="C2">
        <v>4.5999999999999999E-2</v>
      </c>
      <c r="D2">
        <v>7.5999999999999998E-2</v>
      </c>
      <c r="E2">
        <v>7.5999999999999998E-2</v>
      </c>
      <c r="F2">
        <v>4.1000000000000002E-2</v>
      </c>
      <c r="G2">
        <v>1.2E-2</v>
      </c>
      <c r="H2" t="s">
        <v>8</v>
      </c>
    </row>
    <row r="3" spans="1:8" x14ac:dyDescent="0.25">
      <c r="A3" t="s">
        <v>9</v>
      </c>
      <c r="B3">
        <v>8</v>
      </c>
      <c r="C3">
        <v>2.1999999999999999E-2</v>
      </c>
      <c r="D3">
        <v>2.8000000000000001E-2</v>
      </c>
      <c r="E3">
        <v>2.8000000000000001E-2</v>
      </c>
      <c r="F3">
        <v>2.1000000000000001E-2</v>
      </c>
      <c r="G3">
        <v>2E-3</v>
      </c>
    </row>
    <row r="4" spans="1:8" x14ac:dyDescent="0.25">
      <c r="A4" t="s">
        <v>10</v>
      </c>
      <c r="B4">
        <v>8</v>
      </c>
      <c r="C4">
        <v>2.3E-2</v>
      </c>
      <c r="D4">
        <v>2.4E-2</v>
      </c>
      <c r="E4">
        <v>2.4E-2</v>
      </c>
      <c r="F4">
        <v>2.1999999999999999E-2</v>
      </c>
      <c r="G4">
        <v>1E-3</v>
      </c>
    </row>
    <row r="5" spans="1:8" x14ac:dyDescent="0.25">
      <c r="A5" t="s">
        <v>11</v>
      </c>
      <c r="B5">
        <v>3</v>
      </c>
      <c r="C5">
        <v>0.2</v>
      </c>
      <c r="D5">
        <v>0.20300000000000001</v>
      </c>
      <c r="E5">
        <v>0.20300000000000001</v>
      </c>
      <c r="F5">
        <v>0.19800000000000001</v>
      </c>
      <c r="G5">
        <v>3.0000000000000001E-3</v>
      </c>
    </row>
    <row r="6" spans="1:8" x14ac:dyDescent="0.25">
      <c r="A6" t="s">
        <v>12</v>
      </c>
      <c r="B6">
        <v>3</v>
      </c>
      <c r="C6">
        <v>0.58399999999999996</v>
      </c>
      <c r="D6">
        <v>0.59</v>
      </c>
      <c r="E6">
        <v>0.59</v>
      </c>
      <c r="F6">
        <v>0.57699999999999996</v>
      </c>
      <c r="G6">
        <v>7.0000000000000001E-3</v>
      </c>
    </row>
    <row r="7" spans="1:8" x14ac:dyDescent="0.25">
      <c r="A7" t="s">
        <v>13</v>
      </c>
      <c r="B7">
        <v>3</v>
      </c>
      <c r="C7">
        <v>0.32500000000000001</v>
      </c>
      <c r="D7">
        <v>0.32900000000000001</v>
      </c>
      <c r="E7">
        <v>0.32900000000000001</v>
      </c>
      <c r="F7">
        <v>0.32300000000000001</v>
      </c>
      <c r="G7">
        <v>3.0000000000000001E-3</v>
      </c>
    </row>
    <row r="8" spans="1:8" x14ac:dyDescent="0.25">
      <c r="A8" t="s">
        <v>14</v>
      </c>
      <c r="B8">
        <v>3</v>
      </c>
      <c r="C8">
        <v>0.313</v>
      </c>
      <c r="D8">
        <v>0.309</v>
      </c>
      <c r="E8">
        <v>0.32300000000000001</v>
      </c>
      <c r="F8">
        <v>0.307</v>
      </c>
      <c r="G8">
        <v>8.9999999999999993E-3</v>
      </c>
    </row>
    <row r="9" spans="1:8" x14ac:dyDescent="0.25">
      <c r="A9" t="s">
        <v>15</v>
      </c>
      <c r="B9">
        <v>5</v>
      </c>
      <c r="C9">
        <v>0.98899999999999999</v>
      </c>
      <c r="D9">
        <v>0.99</v>
      </c>
      <c r="E9">
        <v>0.995</v>
      </c>
      <c r="F9">
        <v>0.98699999999999999</v>
      </c>
      <c r="G9">
        <v>3.0000000000000001E-3</v>
      </c>
    </row>
    <row r="10" spans="1:8" x14ac:dyDescent="0.25">
      <c r="A10" t="s">
        <v>16</v>
      </c>
      <c r="B10">
        <v>5</v>
      </c>
      <c r="C10">
        <v>0.26900000000000002</v>
      </c>
      <c r="D10">
        <v>0.26900000000000002</v>
      </c>
      <c r="E10">
        <v>0.27200000000000002</v>
      </c>
      <c r="F10">
        <v>0.26800000000000002</v>
      </c>
      <c r="G10">
        <v>2E-3</v>
      </c>
    </row>
    <row r="11" spans="1:8" x14ac:dyDescent="0.25">
      <c r="A11" t="s">
        <v>17</v>
      </c>
      <c r="B11">
        <v>5</v>
      </c>
      <c r="C11">
        <v>0.47299999999999998</v>
      </c>
      <c r="D11">
        <v>0.47899999999999998</v>
      </c>
      <c r="E11">
        <v>0.47899999999999998</v>
      </c>
      <c r="F11">
        <v>0.46700000000000003</v>
      </c>
      <c r="G11">
        <v>6.0000000000000001E-3</v>
      </c>
    </row>
    <row r="12" spans="1:8" x14ac:dyDescent="0.25">
      <c r="A12" t="s">
        <v>18</v>
      </c>
      <c r="B12">
        <v>6</v>
      </c>
      <c r="C12">
        <v>7.0000000000000001E-3</v>
      </c>
      <c r="D12">
        <v>7.0000000000000001E-3</v>
      </c>
      <c r="E12">
        <v>7.0000000000000001E-3</v>
      </c>
      <c r="F12">
        <v>7.0000000000000001E-3</v>
      </c>
      <c r="G12">
        <v>0</v>
      </c>
    </row>
    <row r="13" spans="1:8" x14ac:dyDescent="0.25">
      <c r="A13" t="s">
        <v>19</v>
      </c>
      <c r="B13">
        <v>6</v>
      </c>
      <c r="C13">
        <v>0.24299999999999999</v>
      </c>
      <c r="D13">
        <v>0.245</v>
      </c>
      <c r="E13">
        <v>0.245</v>
      </c>
      <c r="F13">
        <v>0.24099999999999999</v>
      </c>
      <c r="G13">
        <v>1E-3</v>
      </c>
    </row>
    <row r="14" spans="1:8" x14ac:dyDescent="0.25">
      <c r="A14" t="s">
        <v>20</v>
      </c>
      <c r="B14">
        <v>6</v>
      </c>
      <c r="C14">
        <v>3.6999999999999998E-2</v>
      </c>
      <c r="D14">
        <v>3.5999999999999997E-2</v>
      </c>
      <c r="E14">
        <v>3.6999999999999998E-2</v>
      </c>
      <c r="F14">
        <v>3.5999999999999997E-2</v>
      </c>
      <c r="G14">
        <v>1E-3</v>
      </c>
      <c r="H14" s="1"/>
    </row>
    <row r="15" spans="1:8" x14ac:dyDescent="0.25">
      <c r="A15" t="s">
        <v>21</v>
      </c>
      <c r="B15">
        <v>6</v>
      </c>
      <c r="C15">
        <v>6.8000000000000005E-2</v>
      </c>
      <c r="D15">
        <v>6.8000000000000005E-2</v>
      </c>
      <c r="E15">
        <v>6.9000000000000006E-2</v>
      </c>
      <c r="F15">
        <v>6.8000000000000005E-2</v>
      </c>
      <c r="G15">
        <v>0</v>
      </c>
    </row>
    <row r="16" spans="1:8" x14ac:dyDescent="0.25">
      <c r="A16" t="s">
        <v>22</v>
      </c>
      <c r="B16">
        <v>5</v>
      </c>
      <c r="C16">
        <v>0.14099999999999999</v>
      </c>
      <c r="D16">
        <v>0.14199999999999999</v>
      </c>
      <c r="E16">
        <v>0.14199999999999999</v>
      </c>
      <c r="F16">
        <v>0.14000000000000001</v>
      </c>
      <c r="G16">
        <v>1E-3</v>
      </c>
    </row>
    <row r="17" spans="1:7" x14ac:dyDescent="0.25">
      <c r="A17" t="s">
        <v>23</v>
      </c>
      <c r="B17">
        <v>5</v>
      </c>
      <c r="C17">
        <v>0.1</v>
      </c>
      <c r="D17">
        <v>0.1</v>
      </c>
      <c r="E17">
        <v>0.1</v>
      </c>
      <c r="F17">
        <v>0.1</v>
      </c>
      <c r="G17">
        <v>0</v>
      </c>
    </row>
    <row r="18" spans="1:7" x14ac:dyDescent="0.25">
      <c r="A18" t="s">
        <v>24</v>
      </c>
      <c r="B18">
        <v>5</v>
      </c>
      <c r="C18">
        <v>6.9000000000000006E-2</v>
      </c>
      <c r="D18">
        <v>6.9000000000000006E-2</v>
      </c>
      <c r="E18">
        <v>6.9000000000000006E-2</v>
      </c>
      <c r="F18">
        <v>6.7000000000000004E-2</v>
      </c>
      <c r="G18">
        <v>1E-3</v>
      </c>
    </row>
    <row r="19" spans="1:7" x14ac:dyDescent="0.25">
      <c r="A19" t="s">
        <v>25</v>
      </c>
      <c r="B19">
        <v>5</v>
      </c>
      <c r="C19">
        <v>0.35799999999999998</v>
      </c>
      <c r="D19">
        <v>0.35699999999999998</v>
      </c>
      <c r="E19">
        <v>0.36099999999999999</v>
      </c>
      <c r="F19">
        <v>0.35599999999999998</v>
      </c>
      <c r="G19">
        <v>2E-3</v>
      </c>
    </row>
    <row r="20" spans="1:7" x14ac:dyDescent="0.25">
      <c r="A20" t="s">
        <v>26</v>
      </c>
      <c r="B20">
        <v>5</v>
      </c>
      <c r="C20">
        <v>5.7000000000000002E-2</v>
      </c>
      <c r="D20">
        <v>5.7000000000000002E-2</v>
      </c>
      <c r="E20">
        <v>5.8000000000000003E-2</v>
      </c>
      <c r="F20">
        <v>5.7000000000000002E-2</v>
      </c>
      <c r="G20">
        <v>0</v>
      </c>
    </row>
    <row r="21" spans="1:7" x14ac:dyDescent="0.25">
      <c r="A21" t="s">
        <v>27</v>
      </c>
      <c r="B21">
        <v>5</v>
      </c>
      <c r="C21">
        <v>0.16600000000000001</v>
      </c>
      <c r="D21">
        <v>0.16600000000000001</v>
      </c>
      <c r="E21">
        <v>0.16600000000000001</v>
      </c>
      <c r="F21">
        <v>0.16600000000000001</v>
      </c>
      <c r="G21">
        <v>0</v>
      </c>
    </row>
    <row r="22" spans="1:7" x14ac:dyDescent="0.25">
      <c r="A22" t="s">
        <v>28</v>
      </c>
      <c r="B22">
        <v>8</v>
      </c>
      <c r="C22">
        <v>0.52100000000000002</v>
      </c>
      <c r="D22">
        <v>0.52200000000000002</v>
      </c>
      <c r="E22">
        <v>0.52300000000000002</v>
      </c>
      <c r="F22">
        <v>0.51800000000000002</v>
      </c>
      <c r="G22">
        <v>2E-3</v>
      </c>
    </row>
    <row r="23" spans="1:7" x14ac:dyDescent="0.25">
      <c r="A23" t="s">
        <v>29</v>
      </c>
      <c r="B23">
        <v>8</v>
      </c>
      <c r="C23">
        <v>0.157</v>
      </c>
      <c r="D23">
        <v>0.158</v>
      </c>
      <c r="E23">
        <v>0.158</v>
      </c>
      <c r="F23">
        <v>0.156</v>
      </c>
      <c r="G23">
        <v>1E-3</v>
      </c>
    </row>
    <row r="24" spans="1:7" x14ac:dyDescent="0.25">
      <c r="A24" t="s">
        <v>30</v>
      </c>
      <c r="B24">
        <v>8</v>
      </c>
      <c r="C24">
        <v>0.113</v>
      </c>
      <c r="D24">
        <v>0.115</v>
      </c>
      <c r="E24">
        <v>0.115</v>
      </c>
      <c r="F24">
        <v>0.112</v>
      </c>
      <c r="G24">
        <v>1E-3</v>
      </c>
    </row>
    <row r="25" spans="1:7" x14ac:dyDescent="0.25">
      <c r="A25" t="s">
        <v>31</v>
      </c>
      <c r="B25">
        <v>8</v>
      </c>
      <c r="C25">
        <v>0.626</v>
      </c>
      <c r="D25">
        <v>0.629</v>
      </c>
      <c r="E25">
        <v>0.629</v>
      </c>
      <c r="F25">
        <v>0.622</v>
      </c>
      <c r="G25">
        <v>3.0000000000000001E-3</v>
      </c>
    </row>
    <row r="26" spans="1:7" x14ac:dyDescent="0.25">
      <c r="A26" t="s">
        <v>32</v>
      </c>
      <c r="B26">
        <v>8</v>
      </c>
      <c r="C26">
        <v>0.113</v>
      </c>
      <c r="D26">
        <v>0.113</v>
      </c>
      <c r="E26">
        <v>0.114</v>
      </c>
      <c r="F26">
        <v>0.113</v>
      </c>
      <c r="G26">
        <v>0</v>
      </c>
    </row>
    <row r="27" spans="1:7" x14ac:dyDescent="0.25">
      <c r="A27" t="s">
        <v>33</v>
      </c>
      <c r="B27">
        <v>5</v>
      </c>
      <c r="C27">
        <v>2E-3</v>
      </c>
      <c r="D27">
        <v>2E-3</v>
      </c>
      <c r="E27">
        <v>2E-3</v>
      </c>
      <c r="F27">
        <v>2E-3</v>
      </c>
      <c r="G27">
        <v>0</v>
      </c>
    </row>
    <row r="28" spans="1:7" x14ac:dyDescent="0.25">
      <c r="A28" t="s">
        <v>34</v>
      </c>
      <c r="B28">
        <v>5</v>
      </c>
      <c r="C28">
        <v>5.8000000000000003E-2</v>
      </c>
      <c r="D28">
        <v>5.8000000000000003E-2</v>
      </c>
      <c r="E28">
        <v>5.8000000000000003E-2</v>
      </c>
      <c r="F28">
        <v>5.8000000000000003E-2</v>
      </c>
      <c r="G28">
        <v>0</v>
      </c>
    </row>
    <row r="29" spans="1:7" x14ac:dyDescent="0.25">
      <c r="A29" t="s">
        <v>35</v>
      </c>
      <c r="B29">
        <v>20</v>
      </c>
      <c r="C29">
        <v>3.5999999999999997E-2</v>
      </c>
      <c r="D29">
        <v>3.5999999999999997E-2</v>
      </c>
      <c r="E29">
        <v>3.6999999999999998E-2</v>
      </c>
      <c r="F29">
        <v>3.5999999999999997E-2</v>
      </c>
      <c r="G29">
        <v>0</v>
      </c>
    </row>
    <row r="30" spans="1:7" x14ac:dyDescent="0.25">
      <c r="A30" t="s">
        <v>36</v>
      </c>
      <c r="B30">
        <v>20</v>
      </c>
      <c r="C30">
        <v>3.1E-2</v>
      </c>
      <c r="D30">
        <v>3.1E-2</v>
      </c>
      <c r="E30">
        <v>3.1E-2</v>
      </c>
      <c r="F30">
        <v>3.1E-2</v>
      </c>
      <c r="G30">
        <v>0</v>
      </c>
    </row>
    <row r="31" spans="1:7" x14ac:dyDescent="0.25">
      <c r="A31" t="s">
        <v>37</v>
      </c>
      <c r="B31">
        <v>20</v>
      </c>
      <c r="C31">
        <v>5.0000000000000001E-3</v>
      </c>
      <c r="D31">
        <v>5.0000000000000001E-3</v>
      </c>
      <c r="E31">
        <v>5.0000000000000001E-3</v>
      </c>
      <c r="F31">
        <v>5.0000000000000001E-3</v>
      </c>
      <c r="G31">
        <v>0</v>
      </c>
    </row>
    <row r="32" spans="1:7" x14ac:dyDescent="0.25">
      <c r="A32" t="s">
        <v>38</v>
      </c>
      <c r="B32">
        <v>20</v>
      </c>
      <c r="C32">
        <v>3.1E-2</v>
      </c>
      <c r="D32">
        <v>3.1E-2</v>
      </c>
      <c r="E32">
        <v>3.1E-2</v>
      </c>
      <c r="F32">
        <v>3.1E-2</v>
      </c>
      <c r="G32">
        <v>0</v>
      </c>
    </row>
    <row r="33" spans="1:8" x14ac:dyDescent="0.25">
      <c r="A33" t="s">
        <v>39</v>
      </c>
      <c r="B33">
        <v>5</v>
      </c>
      <c r="C33">
        <v>2.6629999999999998</v>
      </c>
      <c r="D33">
        <v>2.6859999999999999</v>
      </c>
      <c r="E33">
        <v>2.6859999999999999</v>
      </c>
      <c r="F33">
        <v>2.6560000000000001</v>
      </c>
      <c r="G33">
        <v>1.2999999999999999E-2</v>
      </c>
    </row>
    <row r="34" spans="1:8" x14ac:dyDescent="0.25">
      <c r="A34" t="s">
        <v>40</v>
      </c>
      <c r="B34">
        <v>5</v>
      </c>
      <c r="C34">
        <v>2.5840000000000001</v>
      </c>
      <c r="D34">
        <v>2.6059999999999999</v>
      </c>
      <c r="E34">
        <v>2.6059999999999999</v>
      </c>
      <c r="F34">
        <v>2.5779999999999998</v>
      </c>
      <c r="G34">
        <v>1.2E-2</v>
      </c>
      <c r="H34" s="1"/>
    </row>
    <row r="35" spans="1:8" x14ac:dyDescent="0.25">
      <c r="A35" t="s">
        <v>41</v>
      </c>
      <c r="B35">
        <v>5</v>
      </c>
      <c r="C35">
        <v>0.76400000000000001</v>
      </c>
      <c r="D35">
        <v>0.77200000000000002</v>
      </c>
      <c r="E35">
        <v>0.77200000000000002</v>
      </c>
      <c r="F35">
        <v>0.76100000000000001</v>
      </c>
      <c r="G35">
        <v>5.0000000000000001E-3</v>
      </c>
    </row>
    <row r="36" spans="1:8" x14ac:dyDescent="0.25">
      <c r="A36" t="s">
        <v>42</v>
      </c>
      <c r="B36">
        <v>5</v>
      </c>
      <c r="C36">
        <v>1.2310000000000001</v>
      </c>
      <c r="D36">
        <v>1.2290000000000001</v>
      </c>
      <c r="E36">
        <v>1.256</v>
      </c>
      <c r="F36">
        <v>1.2210000000000001</v>
      </c>
      <c r="G36">
        <v>1.4E-2</v>
      </c>
    </row>
    <row r="37" spans="1:8" x14ac:dyDescent="0.25">
      <c r="A37" t="s">
        <v>43</v>
      </c>
      <c r="B37">
        <v>5</v>
      </c>
      <c r="C37">
        <v>0.82199999999999995</v>
      </c>
      <c r="D37">
        <v>0.84299999999999997</v>
      </c>
      <c r="E37">
        <v>0.84299999999999997</v>
      </c>
      <c r="F37">
        <v>0.80700000000000005</v>
      </c>
      <c r="G37">
        <v>1.6E-2</v>
      </c>
    </row>
    <row r="38" spans="1:8" x14ac:dyDescent="0.25">
      <c r="A38" t="s">
        <v>44</v>
      </c>
      <c r="B38">
        <v>5</v>
      </c>
      <c r="C38">
        <v>0.88700000000000001</v>
      </c>
      <c r="D38">
        <v>0.89300000000000002</v>
      </c>
      <c r="E38">
        <v>0.90500000000000003</v>
      </c>
      <c r="F38">
        <v>0.873</v>
      </c>
      <c r="G38">
        <v>1.2E-2</v>
      </c>
    </row>
    <row r="39" spans="1:8" x14ac:dyDescent="0.25">
      <c r="A39" t="s">
        <v>45</v>
      </c>
      <c r="B39">
        <v>5</v>
      </c>
      <c r="C39">
        <v>1.575</v>
      </c>
      <c r="D39">
        <v>1.58</v>
      </c>
      <c r="E39">
        <v>1.5820000000000001</v>
      </c>
      <c r="F39">
        <v>1.569</v>
      </c>
      <c r="G39">
        <v>6.0000000000000001E-3</v>
      </c>
    </row>
    <row r="40" spans="1:8" x14ac:dyDescent="0.25">
      <c r="A40" t="s">
        <v>46</v>
      </c>
      <c r="B40">
        <v>5</v>
      </c>
      <c r="C40">
        <v>4.8789999999999996</v>
      </c>
      <c r="D40">
        <v>4.8849999999999998</v>
      </c>
      <c r="E40">
        <v>4.8849999999999998</v>
      </c>
      <c r="F40">
        <v>4.875</v>
      </c>
      <c r="G40">
        <v>4.0000000000000001E-3</v>
      </c>
    </row>
    <row r="41" spans="1:8" x14ac:dyDescent="0.25">
      <c r="A41" t="s">
        <v>47</v>
      </c>
      <c r="B41">
        <v>5</v>
      </c>
      <c r="C41">
        <v>0.97699999999999998</v>
      </c>
      <c r="D41">
        <v>0.97599999999999998</v>
      </c>
      <c r="E41">
        <v>0.98099999999999998</v>
      </c>
      <c r="F41">
        <v>0.97399999999999998</v>
      </c>
      <c r="G41">
        <v>3.0000000000000001E-3</v>
      </c>
    </row>
    <row r="42" spans="1:8" x14ac:dyDescent="0.25">
      <c r="A42" t="s">
        <v>48</v>
      </c>
      <c r="B42">
        <v>8</v>
      </c>
      <c r="C42">
        <v>1.619</v>
      </c>
      <c r="D42">
        <v>1.621</v>
      </c>
      <c r="E42">
        <v>1.621</v>
      </c>
      <c r="F42">
        <v>1.615</v>
      </c>
      <c r="G42">
        <v>3.0000000000000001E-3</v>
      </c>
    </row>
    <row r="43" spans="1:8" x14ac:dyDescent="0.25">
      <c r="A43" t="s">
        <v>49</v>
      </c>
      <c r="B43">
        <v>8</v>
      </c>
      <c r="C43">
        <v>0.94299999999999995</v>
      </c>
      <c r="D43">
        <v>0.94399999999999995</v>
      </c>
      <c r="E43">
        <v>0.94499999999999995</v>
      </c>
      <c r="F43">
        <v>0.94099999999999995</v>
      </c>
      <c r="G43">
        <v>2E-3</v>
      </c>
    </row>
    <row r="44" spans="1:8" x14ac:dyDescent="0.25">
      <c r="A44" t="s">
        <v>50</v>
      </c>
      <c r="B44">
        <v>8</v>
      </c>
      <c r="C44">
        <v>1.6379999999999999</v>
      </c>
      <c r="D44">
        <v>1.64</v>
      </c>
      <c r="E44">
        <v>1.641</v>
      </c>
      <c r="F44">
        <v>1.6359999999999999</v>
      </c>
      <c r="G44">
        <v>2E-3</v>
      </c>
    </row>
    <row r="45" spans="1:8" x14ac:dyDescent="0.25">
      <c r="A45" t="s">
        <v>51</v>
      </c>
      <c r="B45">
        <v>8</v>
      </c>
      <c r="C45">
        <v>1.03</v>
      </c>
      <c r="D45">
        <v>1.038</v>
      </c>
      <c r="E45">
        <v>1.038</v>
      </c>
      <c r="F45">
        <v>1.0249999999999999</v>
      </c>
      <c r="G45">
        <v>4.0000000000000001E-3</v>
      </c>
    </row>
    <row r="46" spans="1:8" x14ac:dyDescent="0.25">
      <c r="A46" t="s">
        <v>52</v>
      </c>
      <c r="B46">
        <v>8</v>
      </c>
      <c r="C46">
        <v>1.5469999999999999</v>
      </c>
      <c r="D46">
        <v>1.5369999999999999</v>
      </c>
      <c r="E46">
        <v>1.5549999999999999</v>
      </c>
      <c r="F46">
        <v>1.5349999999999999</v>
      </c>
      <c r="G46">
        <v>8.0000000000000002E-3</v>
      </c>
    </row>
    <row r="47" spans="1:8" x14ac:dyDescent="0.25">
      <c r="A47" t="s">
        <v>53</v>
      </c>
      <c r="B47">
        <v>8</v>
      </c>
      <c r="C47">
        <v>1.1040000000000001</v>
      </c>
      <c r="D47">
        <v>1.103</v>
      </c>
      <c r="E47">
        <v>1.1100000000000001</v>
      </c>
      <c r="F47">
        <v>1.1000000000000001</v>
      </c>
      <c r="G47">
        <v>3.0000000000000001E-3</v>
      </c>
    </row>
    <row r="48" spans="1:8" x14ac:dyDescent="0.25">
      <c r="A48" t="s">
        <v>54</v>
      </c>
      <c r="B48">
        <v>8</v>
      </c>
      <c r="C48">
        <v>0.81100000000000005</v>
      </c>
      <c r="D48">
        <v>0.80500000000000005</v>
      </c>
      <c r="E48">
        <v>0.84399999999999997</v>
      </c>
      <c r="F48">
        <v>0.80300000000000005</v>
      </c>
      <c r="G48">
        <v>1.2999999999999999E-2</v>
      </c>
    </row>
    <row r="49" spans="1:7" x14ac:dyDescent="0.25">
      <c r="A49" t="s">
        <v>55</v>
      </c>
      <c r="B49">
        <v>8</v>
      </c>
      <c r="C49">
        <v>1.1910000000000001</v>
      </c>
      <c r="D49">
        <v>1.1930000000000001</v>
      </c>
      <c r="E49">
        <v>1.1970000000000001</v>
      </c>
      <c r="F49">
        <v>1.1879999999999999</v>
      </c>
      <c r="G49">
        <v>3.0000000000000001E-3</v>
      </c>
    </row>
    <row r="50" spans="1:7" x14ac:dyDescent="0.25">
      <c r="A50" t="s">
        <v>56</v>
      </c>
      <c r="B50">
        <v>8</v>
      </c>
      <c r="C50">
        <v>0.72299999999999998</v>
      </c>
      <c r="D50">
        <v>0.72699999999999998</v>
      </c>
      <c r="E50">
        <v>0.72699999999999998</v>
      </c>
      <c r="F50">
        <v>0.72099999999999997</v>
      </c>
      <c r="G50">
        <v>2E-3</v>
      </c>
    </row>
    <row r="51" spans="1:7" x14ac:dyDescent="0.25">
      <c r="A51" t="s">
        <v>57</v>
      </c>
      <c r="B51">
        <v>8</v>
      </c>
      <c r="C51">
        <v>0.67</v>
      </c>
      <c r="D51">
        <v>0.66800000000000004</v>
      </c>
      <c r="E51">
        <v>0.67300000000000004</v>
      </c>
      <c r="F51">
        <v>0.66700000000000004</v>
      </c>
      <c r="G51">
        <v>2E-3</v>
      </c>
    </row>
    <row r="52" spans="1:7" x14ac:dyDescent="0.25">
      <c r="A52" t="s">
        <v>58</v>
      </c>
      <c r="B52">
        <v>8</v>
      </c>
      <c r="C52">
        <v>1.0469999999999999</v>
      </c>
      <c r="D52">
        <v>1.0469999999999999</v>
      </c>
      <c r="E52">
        <v>1.05</v>
      </c>
      <c r="F52">
        <v>1.0449999999999999</v>
      </c>
      <c r="G52">
        <v>2E-3</v>
      </c>
    </row>
    <row r="53" spans="1:7" x14ac:dyDescent="0.25">
      <c r="A53" t="s">
        <v>59</v>
      </c>
      <c r="B53">
        <v>8</v>
      </c>
      <c r="C53">
        <v>0.67500000000000004</v>
      </c>
      <c r="D53">
        <v>0.67800000000000005</v>
      </c>
      <c r="E53">
        <v>0.67800000000000005</v>
      </c>
      <c r="F53">
        <v>0.67300000000000004</v>
      </c>
      <c r="G53">
        <v>2E-3</v>
      </c>
    </row>
    <row r="54" spans="1:7" x14ac:dyDescent="0.25">
      <c r="A54" t="s">
        <v>60</v>
      </c>
      <c r="B54">
        <v>8</v>
      </c>
      <c r="C54">
        <v>8.4000000000000005E-2</v>
      </c>
      <c r="D54">
        <v>8.3000000000000004E-2</v>
      </c>
      <c r="E54">
        <v>8.5999999999999993E-2</v>
      </c>
      <c r="F54">
        <v>8.2000000000000003E-2</v>
      </c>
      <c r="G54">
        <v>1E-3</v>
      </c>
    </row>
    <row r="55" spans="1:7" x14ac:dyDescent="0.25">
      <c r="A55" t="s">
        <v>61</v>
      </c>
      <c r="B55">
        <v>8</v>
      </c>
      <c r="C55">
        <v>7.6999999999999999E-2</v>
      </c>
      <c r="D55">
        <v>7.6999999999999999E-2</v>
      </c>
      <c r="E55">
        <v>7.9000000000000001E-2</v>
      </c>
      <c r="F55">
        <v>7.6999999999999999E-2</v>
      </c>
      <c r="G55">
        <v>1E-3</v>
      </c>
    </row>
    <row r="56" spans="1:7" x14ac:dyDescent="0.25">
      <c r="A56" t="s">
        <v>62</v>
      </c>
      <c r="B56">
        <v>8</v>
      </c>
      <c r="C56">
        <v>0.17</v>
      </c>
      <c r="D56">
        <v>0.17100000000000001</v>
      </c>
      <c r="E56">
        <v>0.17100000000000001</v>
      </c>
      <c r="F56">
        <v>0.16900000000000001</v>
      </c>
      <c r="G56">
        <v>1E-3</v>
      </c>
    </row>
    <row r="57" spans="1:7" x14ac:dyDescent="0.25">
      <c r="A57" t="s">
        <v>63</v>
      </c>
      <c r="B57">
        <v>8</v>
      </c>
      <c r="C57">
        <v>0.318</v>
      </c>
      <c r="D57">
        <v>0.318</v>
      </c>
      <c r="E57">
        <v>0.31900000000000001</v>
      </c>
      <c r="F57">
        <v>0.317</v>
      </c>
      <c r="G57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5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1" max="1" width="39" bestFit="1" customWidth="1"/>
    <col min="2" max="2" width="3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8" x14ac:dyDescent="0.25">
      <c r="A2" t="s">
        <v>7</v>
      </c>
      <c r="B2">
        <v>8</v>
      </c>
      <c r="C2">
        <v>5.0999999999999997E-2</v>
      </c>
      <c r="D2">
        <v>0.122</v>
      </c>
      <c r="E2">
        <v>0.122</v>
      </c>
      <c r="F2">
        <v>0.04</v>
      </c>
      <c r="G2">
        <v>2.9000000000000001E-2</v>
      </c>
      <c r="H2" t="s">
        <v>8</v>
      </c>
    </row>
    <row r="3" spans="1:8" x14ac:dyDescent="0.25">
      <c r="A3" t="s">
        <v>9</v>
      </c>
      <c r="B3">
        <v>8</v>
      </c>
      <c r="C3">
        <v>2.3E-2</v>
      </c>
      <c r="D3">
        <v>3.7999999999999999E-2</v>
      </c>
      <c r="E3">
        <v>3.7999999999999999E-2</v>
      </c>
      <c r="F3">
        <v>0.02</v>
      </c>
      <c r="G3">
        <v>6.0000000000000001E-3</v>
      </c>
    </row>
    <row r="4" spans="1:8" x14ac:dyDescent="0.25">
      <c r="A4" t="s">
        <v>10</v>
      </c>
      <c r="B4">
        <v>8</v>
      </c>
      <c r="C4">
        <v>2.4E-2</v>
      </c>
      <c r="D4">
        <v>3.2000000000000001E-2</v>
      </c>
      <c r="E4">
        <v>3.2000000000000001E-2</v>
      </c>
      <c r="F4">
        <v>2.1999999999999999E-2</v>
      </c>
      <c r="G4">
        <v>3.0000000000000001E-3</v>
      </c>
    </row>
    <row r="5" spans="1:8" x14ac:dyDescent="0.25">
      <c r="A5" t="s">
        <v>11</v>
      </c>
      <c r="B5">
        <v>3</v>
      </c>
      <c r="C5">
        <v>0.253</v>
      </c>
      <c r="D5">
        <v>0.253</v>
      </c>
      <c r="E5">
        <v>0.253</v>
      </c>
      <c r="F5">
        <v>0.252</v>
      </c>
      <c r="G5">
        <v>1E-3</v>
      </c>
    </row>
    <row r="6" spans="1:8" x14ac:dyDescent="0.25">
      <c r="A6" t="s">
        <v>12</v>
      </c>
      <c r="B6">
        <v>3</v>
      </c>
      <c r="C6">
        <v>0.64500000000000002</v>
      </c>
      <c r="D6">
        <v>0.64500000000000002</v>
      </c>
      <c r="E6">
        <v>0.64800000000000002</v>
      </c>
      <c r="F6">
        <v>0.64200000000000002</v>
      </c>
      <c r="G6">
        <v>3.0000000000000001E-3</v>
      </c>
    </row>
    <row r="7" spans="1:8" x14ac:dyDescent="0.25">
      <c r="A7" t="s">
        <v>13</v>
      </c>
      <c r="B7">
        <v>3</v>
      </c>
      <c r="C7">
        <v>0.39</v>
      </c>
      <c r="D7">
        <v>0.38300000000000001</v>
      </c>
      <c r="E7">
        <v>0.40100000000000002</v>
      </c>
      <c r="F7">
        <v>0.38300000000000001</v>
      </c>
      <c r="G7">
        <v>8.9999999999999993E-3</v>
      </c>
    </row>
    <row r="8" spans="1:8" x14ac:dyDescent="0.25">
      <c r="A8" t="s">
        <v>14</v>
      </c>
      <c r="B8">
        <v>3</v>
      </c>
      <c r="C8">
        <v>0.36799999999999999</v>
      </c>
      <c r="D8">
        <v>0.36699999999999999</v>
      </c>
      <c r="E8">
        <v>0.36899999999999999</v>
      </c>
      <c r="F8">
        <v>0.36699999999999999</v>
      </c>
      <c r="G8">
        <v>1E-3</v>
      </c>
    </row>
    <row r="9" spans="1:8" x14ac:dyDescent="0.25">
      <c r="A9" t="s">
        <v>15</v>
      </c>
      <c r="B9">
        <v>5</v>
      </c>
      <c r="C9">
        <v>0.97599999999999998</v>
      </c>
      <c r="D9">
        <v>0.98</v>
      </c>
      <c r="E9">
        <v>0.99099999999999999</v>
      </c>
      <c r="F9">
        <v>0.96799999999999997</v>
      </c>
      <c r="G9">
        <v>0.01</v>
      </c>
    </row>
    <row r="10" spans="1:8" x14ac:dyDescent="0.25">
      <c r="A10" t="s">
        <v>16</v>
      </c>
      <c r="B10">
        <v>5</v>
      </c>
      <c r="C10">
        <v>0.26600000000000001</v>
      </c>
      <c r="D10">
        <v>0.26700000000000002</v>
      </c>
      <c r="E10">
        <v>0.26800000000000002</v>
      </c>
      <c r="F10">
        <v>0.26400000000000001</v>
      </c>
      <c r="G10">
        <v>2E-3</v>
      </c>
    </row>
    <row r="11" spans="1:8" x14ac:dyDescent="0.25">
      <c r="A11" t="s">
        <v>17</v>
      </c>
      <c r="B11">
        <v>5</v>
      </c>
      <c r="C11">
        <v>0.46800000000000003</v>
      </c>
      <c r="D11">
        <v>0.46899999999999997</v>
      </c>
      <c r="E11">
        <v>0.47099999999999997</v>
      </c>
      <c r="F11">
        <v>0.46600000000000003</v>
      </c>
      <c r="G11">
        <v>2E-3</v>
      </c>
    </row>
    <row r="12" spans="1:8" x14ac:dyDescent="0.25">
      <c r="A12" t="s">
        <v>18</v>
      </c>
      <c r="B12">
        <v>6</v>
      </c>
      <c r="C12">
        <v>7.0000000000000001E-3</v>
      </c>
      <c r="D12">
        <v>7.0000000000000001E-3</v>
      </c>
      <c r="E12">
        <v>7.0000000000000001E-3</v>
      </c>
      <c r="F12">
        <v>7.0000000000000001E-3</v>
      </c>
      <c r="G12">
        <v>0</v>
      </c>
    </row>
    <row r="13" spans="1:8" x14ac:dyDescent="0.25">
      <c r="A13" t="s">
        <v>19</v>
      </c>
      <c r="B13">
        <v>6</v>
      </c>
      <c r="C13">
        <v>0.23899999999999999</v>
      </c>
      <c r="D13">
        <v>0.23899999999999999</v>
      </c>
      <c r="E13">
        <v>0.23899999999999999</v>
      </c>
      <c r="F13">
        <v>0.23899999999999999</v>
      </c>
      <c r="G13">
        <v>0</v>
      </c>
    </row>
    <row r="14" spans="1:8" x14ac:dyDescent="0.25">
      <c r="A14" t="s">
        <v>20</v>
      </c>
      <c r="B14">
        <v>6</v>
      </c>
      <c r="C14">
        <v>3.5999999999999997E-2</v>
      </c>
      <c r="D14">
        <v>3.5999999999999997E-2</v>
      </c>
      <c r="E14">
        <v>3.5999999999999997E-2</v>
      </c>
      <c r="F14">
        <v>3.5000000000000003E-2</v>
      </c>
      <c r="G14">
        <v>1E-3</v>
      </c>
      <c r="H14" s="1"/>
    </row>
    <row r="15" spans="1:8" x14ac:dyDescent="0.25">
      <c r="A15" t="s">
        <v>21</v>
      </c>
      <c r="B15">
        <v>6</v>
      </c>
      <c r="C15">
        <v>6.7000000000000004E-2</v>
      </c>
      <c r="D15">
        <v>6.7000000000000004E-2</v>
      </c>
      <c r="E15">
        <v>6.7000000000000004E-2</v>
      </c>
      <c r="F15">
        <v>6.7000000000000004E-2</v>
      </c>
      <c r="G15">
        <v>0</v>
      </c>
    </row>
    <row r="16" spans="1:8" x14ac:dyDescent="0.25">
      <c r="A16" t="s">
        <v>22</v>
      </c>
      <c r="B16">
        <v>5</v>
      </c>
      <c r="C16">
        <v>0.14000000000000001</v>
      </c>
      <c r="D16">
        <v>0.14000000000000001</v>
      </c>
      <c r="E16">
        <v>0.14199999999999999</v>
      </c>
      <c r="F16">
        <v>0.13900000000000001</v>
      </c>
      <c r="G16">
        <v>1E-3</v>
      </c>
    </row>
    <row r="17" spans="1:7" x14ac:dyDescent="0.25">
      <c r="A17" t="s">
        <v>23</v>
      </c>
      <c r="B17">
        <v>5</v>
      </c>
      <c r="C17">
        <v>9.9000000000000005E-2</v>
      </c>
      <c r="D17">
        <v>9.9000000000000005E-2</v>
      </c>
      <c r="E17">
        <v>0.1</v>
      </c>
      <c r="F17">
        <v>9.9000000000000005E-2</v>
      </c>
      <c r="G17">
        <v>0</v>
      </c>
    </row>
    <row r="18" spans="1:7" x14ac:dyDescent="0.25">
      <c r="A18" t="s">
        <v>24</v>
      </c>
      <c r="B18">
        <v>5</v>
      </c>
      <c r="C18">
        <v>7.0000000000000007E-2</v>
      </c>
      <c r="D18">
        <v>6.7000000000000004E-2</v>
      </c>
      <c r="E18">
        <v>7.1999999999999995E-2</v>
      </c>
      <c r="F18">
        <v>6.7000000000000004E-2</v>
      </c>
      <c r="G18">
        <v>2E-3</v>
      </c>
    </row>
    <row r="19" spans="1:7" x14ac:dyDescent="0.25">
      <c r="A19" t="s">
        <v>25</v>
      </c>
      <c r="B19">
        <v>5</v>
      </c>
      <c r="C19">
        <v>0.35399999999999998</v>
      </c>
      <c r="D19">
        <v>0.35599999999999998</v>
      </c>
      <c r="E19">
        <v>0.35599999999999998</v>
      </c>
      <c r="F19">
        <v>0.35299999999999998</v>
      </c>
      <c r="G19">
        <v>1E-3</v>
      </c>
    </row>
    <row r="20" spans="1:7" x14ac:dyDescent="0.25">
      <c r="A20" t="s">
        <v>26</v>
      </c>
      <c r="B20">
        <v>5</v>
      </c>
      <c r="C20">
        <v>5.6000000000000001E-2</v>
      </c>
      <c r="D20">
        <v>5.7000000000000002E-2</v>
      </c>
      <c r="E20">
        <v>5.7000000000000002E-2</v>
      </c>
      <c r="F20">
        <v>5.6000000000000001E-2</v>
      </c>
      <c r="G20">
        <v>1E-3</v>
      </c>
    </row>
    <row r="21" spans="1:7" x14ac:dyDescent="0.25">
      <c r="A21" t="s">
        <v>27</v>
      </c>
      <c r="B21">
        <v>5</v>
      </c>
      <c r="C21">
        <v>0.16800000000000001</v>
      </c>
      <c r="D21">
        <v>0.16800000000000001</v>
      </c>
      <c r="E21">
        <v>0.16800000000000001</v>
      </c>
      <c r="F21">
        <v>0.16800000000000001</v>
      </c>
      <c r="G21">
        <v>0</v>
      </c>
    </row>
    <row r="22" spans="1:7" x14ac:dyDescent="0.25">
      <c r="A22" t="s">
        <v>28</v>
      </c>
      <c r="B22">
        <v>8</v>
      </c>
      <c r="C22">
        <v>0.51700000000000002</v>
      </c>
      <c r="D22">
        <v>0.51800000000000002</v>
      </c>
      <c r="E22">
        <v>0.51900000000000002</v>
      </c>
      <c r="F22">
        <v>0.51500000000000001</v>
      </c>
      <c r="G22">
        <v>2E-3</v>
      </c>
    </row>
    <row r="23" spans="1:7" x14ac:dyDescent="0.25">
      <c r="A23" t="s">
        <v>29</v>
      </c>
      <c r="B23">
        <v>8</v>
      </c>
      <c r="C23">
        <v>0.155</v>
      </c>
      <c r="D23">
        <v>0.156</v>
      </c>
      <c r="E23">
        <v>0.157</v>
      </c>
      <c r="F23">
        <v>0.154</v>
      </c>
      <c r="G23">
        <v>1E-3</v>
      </c>
    </row>
    <row r="24" spans="1:7" x14ac:dyDescent="0.25">
      <c r="A24" t="s">
        <v>30</v>
      </c>
      <c r="B24">
        <v>8</v>
      </c>
      <c r="C24">
        <v>0.112</v>
      </c>
      <c r="D24">
        <v>0.114</v>
      </c>
      <c r="E24">
        <v>0.114</v>
      </c>
      <c r="F24">
        <v>0.111</v>
      </c>
      <c r="G24">
        <v>1E-3</v>
      </c>
    </row>
    <row r="25" spans="1:7" x14ac:dyDescent="0.25">
      <c r="A25" t="s">
        <v>31</v>
      </c>
      <c r="B25">
        <v>8</v>
      </c>
      <c r="C25">
        <v>0.621</v>
      </c>
      <c r="D25">
        <v>0.61899999999999999</v>
      </c>
      <c r="E25">
        <v>0.622</v>
      </c>
      <c r="F25">
        <v>0.61899999999999999</v>
      </c>
      <c r="G25">
        <v>1E-3</v>
      </c>
    </row>
    <row r="26" spans="1:7" x14ac:dyDescent="0.25">
      <c r="A26" t="s">
        <v>32</v>
      </c>
      <c r="B26">
        <v>8</v>
      </c>
      <c r="C26">
        <v>0.113</v>
      </c>
      <c r="D26">
        <v>0.113</v>
      </c>
      <c r="E26">
        <v>0.114</v>
      </c>
      <c r="F26">
        <v>0.112</v>
      </c>
      <c r="G26">
        <v>1E-3</v>
      </c>
    </row>
    <row r="27" spans="1:7" x14ac:dyDescent="0.25">
      <c r="A27" t="s">
        <v>33</v>
      </c>
      <c r="B27">
        <v>5</v>
      </c>
      <c r="C27">
        <v>2E-3</v>
      </c>
      <c r="D27">
        <v>2E-3</v>
      </c>
      <c r="E27">
        <v>2E-3</v>
      </c>
      <c r="F27">
        <v>2E-3</v>
      </c>
      <c r="G27">
        <v>0</v>
      </c>
    </row>
    <row r="28" spans="1:7" x14ac:dyDescent="0.25">
      <c r="A28" t="s">
        <v>34</v>
      </c>
      <c r="B28">
        <v>5</v>
      </c>
      <c r="C28">
        <v>5.8000000000000003E-2</v>
      </c>
      <c r="D28">
        <v>5.8000000000000003E-2</v>
      </c>
      <c r="E28">
        <v>5.8000000000000003E-2</v>
      </c>
      <c r="F28">
        <v>5.7000000000000002E-2</v>
      </c>
      <c r="G28">
        <v>1E-3</v>
      </c>
    </row>
    <row r="29" spans="1:7" x14ac:dyDescent="0.25">
      <c r="A29" t="s">
        <v>35</v>
      </c>
      <c r="B29">
        <v>20</v>
      </c>
      <c r="C29">
        <v>3.5999999999999997E-2</v>
      </c>
      <c r="D29">
        <v>3.5999999999999997E-2</v>
      </c>
      <c r="E29">
        <v>3.5999999999999997E-2</v>
      </c>
      <c r="F29">
        <v>3.5999999999999997E-2</v>
      </c>
      <c r="G29">
        <v>0</v>
      </c>
    </row>
    <row r="30" spans="1:7" x14ac:dyDescent="0.25">
      <c r="A30" t="s">
        <v>36</v>
      </c>
      <c r="B30">
        <v>20</v>
      </c>
      <c r="C30">
        <v>3.1E-2</v>
      </c>
      <c r="D30">
        <v>3.1E-2</v>
      </c>
      <c r="E30">
        <v>3.2000000000000001E-2</v>
      </c>
      <c r="F30">
        <v>0.03</v>
      </c>
      <c r="G30">
        <v>1E-3</v>
      </c>
    </row>
    <row r="31" spans="1:7" x14ac:dyDescent="0.25">
      <c r="A31" t="s">
        <v>37</v>
      </c>
      <c r="B31">
        <v>20</v>
      </c>
      <c r="C31">
        <v>5.0000000000000001E-3</v>
      </c>
      <c r="D31">
        <v>5.0000000000000001E-3</v>
      </c>
      <c r="E31">
        <v>5.0000000000000001E-3</v>
      </c>
      <c r="F31">
        <v>5.0000000000000001E-3</v>
      </c>
      <c r="G31">
        <v>0</v>
      </c>
    </row>
    <row r="32" spans="1:7" x14ac:dyDescent="0.25">
      <c r="A32" t="s">
        <v>38</v>
      </c>
      <c r="B32">
        <v>20</v>
      </c>
      <c r="C32">
        <v>2.8000000000000001E-2</v>
      </c>
      <c r="D32">
        <v>2.8000000000000001E-2</v>
      </c>
      <c r="E32">
        <v>0.03</v>
      </c>
      <c r="F32">
        <v>2.5999999999999999E-2</v>
      </c>
      <c r="G32">
        <v>1E-3</v>
      </c>
    </row>
    <row r="33" spans="1:8" x14ac:dyDescent="0.25">
      <c r="A33" t="s">
        <v>39</v>
      </c>
      <c r="B33">
        <v>5</v>
      </c>
      <c r="C33">
        <v>2.6579999999999999</v>
      </c>
      <c r="D33">
        <v>2.661</v>
      </c>
      <c r="E33">
        <v>2.661</v>
      </c>
      <c r="F33">
        <v>2.653</v>
      </c>
      <c r="G33">
        <v>3.0000000000000001E-3</v>
      </c>
    </row>
    <row r="34" spans="1:8" x14ac:dyDescent="0.25">
      <c r="A34" t="s">
        <v>40</v>
      </c>
      <c r="B34">
        <v>5</v>
      </c>
      <c r="C34">
        <v>2.577</v>
      </c>
      <c r="D34">
        <v>2.577</v>
      </c>
      <c r="E34">
        <v>2.5790000000000002</v>
      </c>
      <c r="F34">
        <v>2.5750000000000002</v>
      </c>
      <c r="G34">
        <v>1E-3</v>
      </c>
      <c r="H34" s="1"/>
    </row>
    <row r="35" spans="1:8" x14ac:dyDescent="0.25">
      <c r="A35" t="s">
        <v>41</v>
      </c>
      <c r="B35">
        <v>5</v>
      </c>
      <c r="C35">
        <v>0.80500000000000005</v>
      </c>
      <c r="D35">
        <v>0.80800000000000005</v>
      </c>
      <c r="E35">
        <v>0.80800000000000005</v>
      </c>
      <c r="F35">
        <v>0.80200000000000005</v>
      </c>
      <c r="G35">
        <v>3.0000000000000001E-3</v>
      </c>
    </row>
    <row r="36" spans="1:8" x14ac:dyDescent="0.25">
      <c r="A36" t="s">
        <v>42</v>
      </c>
      <c r="B36">
        <v>5</v>
      </c>
      <c r="C36">
        <v>1.224</v>
      </c>
      <c r="D36">
        <v>1.23</v>
      </c>
      <c r="E36">
        <v>1.23</v>
      </c>
      <c r="F36">
        <v>1.216</v>
      </c>
      <c r="G36">
        <v>5.0000000000000001E-3</v>
      </c>
    </row>
    <row r="37" spans="1:8" x14ac:dyDescent="0.25">
      <c r="A37" t="s">
        <v>43</v>
      </c>
      <c r="B37">
        <v>5</v>
      </c>
      <c r="C37">
        <v>0.81299999999999994</v>
      </c>
      <c r="D37">
        <v>0.81399999999999995</v>
      </c>
      <c r="E37">
        <v>0.81699999999999995</v>
      </c>
      <c r="F37">
        <v>0.80900000000000005</v>
      </c>
      <c r="G37">
        <v>3.0000000000000001E-3</v>
      </c>
    </row>
    <row r="38" spans="1:8" x14ac:dyDescent="0.25">
      <c r="A38" t="s">
        <v>44</v>
      </c>
      <c r="B38">
        <v>5</v>
      </c>
      <c r="C38">
        <v>0.878</v>
      </c>
      <c r="D38">
        <v>0.878</v>
      </c>
      <c r="E38">
        <v>0.88300000000000001</v>
      </c>
      <c r="F38">
        <v>0.875</v>
      </c>
      <c r="G38">
        <v>3.0000000000000001E-3</v>
      </c>
    </row>
    <row r="39" spans="1:8" x14ac:dyDescent="0.25">
      <c r="A39" t="s">
        <v>45</v>
      </c>
      <c r="B39">
        <v>5</v>
      </c>
      <c r="C39">
        <v>1.575</v>
      </c>
      <c r="D39">
        <v>1.575</v>
      </c>
      <c r="E39">
        <v>1.579</v>
      </c>
      <c r="F39">
        <v>1.5720000000000001</v>
      </c>
      <c r="G39">
        <v>3.0000000000000001E-3</v>
      </c>
    </row>
    <row r="40" spans="1:8" x14ac:dyDescent="0.25">
      <c r="A40" t="s">
        <v>46</v>
      </c>
      <c r="B40">
        <v>5</v>
      </c>
      <c r="C40">
        <v>4.8860000000000001</v>
      </c>
      <c r="D40">
        <v>4.8920000000000003</v>
      </c>
      <c r="E40">
        <v>4.8920000000000003</v>
      </c>
      <c r="F40">
        <v>4.8810000000000002</v>
      </c>
      <c r="G40">
        <v>4.0000000000000001E-3</v>
      </c>
    </row>
    <row r="41" spans="1:8" x14ac:dyDescent="0.25">
      <c r="A41" t="s">
        <v>47</v>
      </c>
      <c r="B41">
        <v>5</v>
      </c>
      <c r="C41">
        <v>0.97599999999999998</v>
      </c>
      <c r="D41">
        <v>0.97499999999999998</v>
      </c>
      <c r="E41">
        <v>0.97899999999999998</v>
      </c>
      <c r="F41">
        <v>0.97399999999999998</v>
      </c>
      <c r="G41">
        <v>2E-3</v>
      </c>
    </row>
    <row r="42" spans="1:8" x14ac:dyDescent="0.25">
      <c r="A42" t="s">
        <v>48</v>
      </c>
      <c r="B42">
        <v>8</v>
      </c>
      <c r="C42">
        <v>1.623</v>
      </c>
      <c r="D42">
        <v>1.6220000000000001</v>
      </c>
      <c r="E42">
        <v>1.6259999999999999</v>
      </c>
      <c r="F42">
        <v>1.619</v>
      </c>
      <c r="G42">
        <v>3.0000000000000001E-3</v>
      </c>
    </row>
    <row r="43" spans="1:8" x14ac:dyDescent="0.25">
      <c r="A43" t="s">
        <v>49</v>
      </c>
      <c r="B43">
        <v>8</v>
      </c>
      <c r="C43">
        <v>1.18</v>
      </c>
      <c r="D43">
        <v>1.1879999999999999</v>
      </c>
      <c r="E43">
        <v>1.1879999999999999</v>
      </c>
      <c r="F43">
        <v>1.177</v>
      </c>
      <c r="G43">
        <v>4.0000000000000001E-3</v>
      </c>
    </row>
    <row r="44" spans="1:8" x14ac:dyDescent="0.25">
      <c r="A44" t="s">
        <v>50</v>
      </c>
      <c r="B44">
        <v>8</v>
      </c>
      <c r="C44">
        <v>1.639</v>
      </c>
      <c r="D44">
        <v>1.643</v>
      </c>
      <c r="E44">
        <v>1.643</v>
      </c>
      <c r="F44">
        <v>1.6359999999999999</v>
      </c>
      <c r="G44">
        <v>3.0000000000000001E-3</v>
      </c>
    </row>
    <row r="45" spans="1:8" x14ac:dyDescent="0.25">
      <c r="A45" t="s">
        <v>51</v>
      </c>
      <c r="B45">
        <v>8</v>
      </c>
      <c r="C45">
        <v>1.052</v>
      </c>
      <c r="D45">
        <v>1.06</v>
      </c>
      <c r="E45">
        <v>1.06</v>
      </c>
      <c r="F45">
        <v>1.048</v>
      </c>
      <c r="G45">
        <v>5.0000000000000001E-3</v>
      </c>
    </row>
    <row r="46" spans="1:8" x14ac:dyDescent="0.25">
      <c r="A46" t="s">
        <v>52</v>
      </c>
      <c r="B46">
        <v>8</v>
      </c>
      <c r="C46">
        <v>1.528</v>
      </c>
      <c r="D46">
        <v>1.427</v>
      </c>
      <c r="E46">
        <v>1.5549999999999999</v>
      </c>
      <c r="F46">
        <v>1.427</v>
      </c>
      <c r="G46">
        <v>4.1000000000000002E-2</v>
      </c>
    </row>
    <row r="47" spans="1:8" x14ac:dyDescent="0.25">
      <c r="A47" t="s">
        <v>53</v>
      </c>
      <c r="B47">
        <v>8</v>
      </c>
      <c r="C47">
        <v>1.111</v>
      </c>
      <c r="D47">
        <v>1.1020000000000001</v>
      </c>
      <c r="E47">
        <v>1.1399999999999999</v>
      </c>
      <c r="F47">
        <v>1.1020000000000001</v>
      </c>
      <c r="G47">
        <v>1.2E-2</v>
      </c>
    </row>
    <row r="48" spans="1:8" x14ac:dyDescent="0.25">
      <c r="A48" t="s">
        <v>54</v>
      </c>
      <c r="B48">
        <v>8</v>
      </c>
      <c r="C48">
        <v>0.80800000000000005</v>
      </c>
      <c r="D48">
        <v>0.80700000000000005</v>
      </c>
      <c r="E48">
        <v>0.81100000000000005</v>
      </c>
      <c r="F48">
        <v>0.80300000000000005</v>
      </c>
      <c r="G48">
        <v>3.0000000000000001E-3</v>
      </c>
    </row>
    <row r="49" spans="1:7" x14ac:dyDescent="0.25">
      <c r="A49" t="s">
        <v>55</v>
      </c>
      <c r="B49">
        <v>8</v>
      </c>
      <c r="C49">
        <v>1.2170000000000001</v>
      </c>
      <c r="D49">
        <v>1.2250000000000001</v>
      </c>
      <c r="E49">
        <v>1.2250000000000001</v>
      </c>
      <c r="F49">
        <v>1.2130000000000001</v>
      </c>
      <c r="G49">
        <v>4.0000000000000001E-3</v>
      </c>
    </row>
    <row r="50" spans="1:7" x14ac:dyDescent="0.25">
      <c r="A50" t="s">
        <v>56</v>
      </c>
      <c r="B50">
        <v>8</v>
      </c>
      <c r="C50">
        <v>0.72199999999999998</v>
      </c>
      <c r="D50">
        <v>0.72599999999999998</v>
      </c>
      <c r="E50">
        <v>0.72599999999999998</v>
      </c>
      <c r="F50">
        <v>0.72</v>
      </c>
      <c r="G50">
        <v>2E-3</v>
      </c>
    </row>
    <row r="51" spans="1:7" x14ac:dyDescent="0.25">
      <c r="A51" t="s">
        <v>57</v>
      </c>
      <c r="B51">
        <v>8</v>
      </c>
      <c r="C51">
        <v>0.66400000000000003</v>
      </c>
      <c r="D51">
        <v>0.66400000000000003</v>
      </c>
      <c r="E51">
        <v>0.66600000000000004</v>
      </c>
      <c r="F51">
        <v>0.66200000000000003</v>
      </c>
      <c r="G51">
        <v>1E-3</v>
      </c>
    </row>
    <row r="52" spans="1:7" x14ac:dyDescent="0.25">
      <c r="A52" t="s">
        <v>58</v>
      </c>
      <c r="B52">
        <v>8</v>
      </c>
      <c r="C52">
        <v>0.85099999999999998</v>
      </c>
      <c r="D52">
        <v>0.85</v>
      </c>
      <c r="E52">
        <v>0.85499999999999998</v>
      </c>
      <c r="F52">
        <v>0.84899999999999998</v>
      </c>
      <c r="G52">
        <v>2E-3</v>
      </c>
    </row>
    <row r="53" spans="1:7" x14ac:dyDescent="0.25">
      <c r="A53" t="s">
        <v>59</v>
      </c>
      <c r="B53">
        <v>8</v>
      </c>
      <c r="C53">
        <v>0.496</v>
      </c>
      <c r="D53">
        <v>0.495</v>
      </c>
      <c r="E53">
        <v>0.498</v>
      </c>
      <c r="F53">
        <v>0.495</v>
      </c>
      <c r="G53">
        <v>1E-3</v>
      </c>
    </row>
    <row r="54" spans="1:7" x14ac:dyDescent="0.25">
      <c r="A54" t="s">
        <v>60</v>
      </c>
      <c r="B54">
        <v>8</v>
      </c>
      <c r="C54">
        <v>8.3000000000000004E-2</v>
      </c>
      <c r="D54">
        <v>8.5000000000000006E-2</v>
      </c>
      <c r="E54">
        <v>8.5000000000000006E-2</v>
      </c>
      <c r="F54">
        <v>8.2000000000000003E-2</v>
      </c>
      <c r="G54">
        <v>1E-3</v>
      </c>
    </row>
    <row r="55" spans="1:7" x14ac:dyDescent="0.25">
      <c r="A55" t="s">
        <v>61</v>
      </c>
      <c r="B55">
        <v>8</v>
      </c>
      <c r="C55">
        <v>7.6999999999999999E-2</v>
      </c>
      <c r="D55">
        <v>7.6999999999999999E-2</v>
      </c>
      <c r="E55">
        <v>7.8E-2</v>
      </c>
      <c r="F55">
        <v>7.6999999999999999E-2</v>
      </c>
      <c r="G55">
        <v>1E-3</v>
      </c>
    </row>
    <row r="56" spans="1:7" x14ac:dyDescent="0.25">
      <c r="A56" t="s">
        <v>62</v>
      </c>
      <c r="B56">
        <v>8</v>
      </c>
      <c r="C56">
        <v>0.16800000000000001</v>
      </c>
      <c r="D56">
        <v>0.16800000000000001</v>
      </c>
      <c r="E56">
        <v>0.16800000000000001</v>
      </c>
      <c r="F56">
        <v>0.16700000000000001</v>
      </c>
      <c r="G56">
        <v>1E-3</v>
      </c>
    </row>
    <row r="57" spans="1:7" x14ac:dyDescent="0.25">
      <c r="A57" t="s">
        <v>63</v>
      </c>
      <c r="B57">
        <v>8</v>
      </c>
      <c r="C57">
        <v>0.31900000000000001</v>
      </c>
      <c r="D57">
        <v>0.31900000000000001</v>
      </c>
      <c r="E57">
        <v>0.32100000000000001</v>
      </c>
      <c r="F57">
        <v>0.317</v>
      </c>
      <c r="G57">
        <v>1E-3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5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1" max="1" width="39" bestFit="1" customWidth="1"/>
    <col min="2" max="2" width="3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8" x14ac:dyDescent="0.25">
      <c r="A2" t="s">
        <v>7</v>
      </c>
      <c r="B2">
        <v>8</v>
      </c>
      <c r="C2">
        <v>6.4000000000000001E-2</v>
      </c>
      <c r="D2">
        <v>0.17399999999999999</v>
      </c>
      <c r="E2">
        <v>0.17399999999999999</v>
      </c>
      <c r="F2">
        <v>4.7E-2</v>
      </c>
      <c r="G2">
        <v>4.4999999999999998E-2</v>
      </c>
      <c r="H2" t="s">
        <v>8</v>
      </c>
    </row>
    <row r="3" spans="1:8" x14ac:dyDescent="0.25">
      <c r="A3" t="s">
        <v>9</v>
      </c>
      <c r="B3">
        <v>8</v>
      </c>
      <c r="C3">
        <v>2.7E-2</v>
      </c>
      <c r="D3">
        <v>5.7000000000000002E-2</v>
      </c>
      <c r="E3">
        <v>5.7000000000000002E-2</v>
      </c>
      <c r="F3">
        <v>2.1999999999999999E-2</v>
      </c>
      <c r="G3">
        <v>1.2E-2</v>
      </c>
    </row>
    <row r="4" spans="1:8" x14ac:dyDescent="0.25">
      <c r="A4" t="s">
        <v>10</v>
      </c>
      <c r="B4">
        <v>8</v>
      </c>
      <c r="C4">
        <v>2.5000000000000001E-2</v>
      </c>
      <c r="D4">
        <v>3.1E-2</v>
      </c>
      <c r="E4">
        <v>3.1E-2</v>
      </c>
      <c r="F4">
        <v>2.3E-2</v>
      </c>
      <c r="G4">
        <v>3.0000000000000001E-3</v>
      </c>
    </row>
    <row r="5" spans="1:8" x14ac:dyDescent="0.25">
      <c r="A5" t="s">
        <v>11</v>
      </c>
      <c r="B5">
        <v>3</v>
      </c>
      <c r="C5">
        <v>0.17699999999999999</v>
      </c>
      <c r="D5">
        <v>0.17699999999999999</v>
      </c>
      <c r="E5">
        <v>0.17799999999999999</v>
      </c>
      <c r="F5">
        <v>0.17599999999999999</v>
      </c>
      <c r="G5">
        <v>1E-3</v>
      </c>
    </row>
    <row r="6" spans="1:8" x14ac:dyDescent="0.25">
      <c r="A6" t="s">
        <v>12</v>
      </c>
      <c r="B6">
        <v>3</v>
      </c>
      <c r="C6">
        <v>0.57199999999999995</v>
      </c>
      <c r="D6">
        <v>0.58599999999999997</v>
      </c>
      <c r="E6">
        <v>0.58599999999999997</v>
      </c>
      <c r="F6">
        <v>0.56100000000000005</v>
      </c>
      <c r="G6">
        <v>1.2999999999999999E-2</v>
      </c>
    </row>
    <row r="7" spans="1:8" x14ac:dyDescent="0.25">
      <c r="A7" t="s">
        <v>13</v>
      </c>
      <c r="B7">
        <v>3</v>
      </c>
      <c r="C7">
        <v>0.30499999999999999</v>
      </c>
      <c r="D7">
        <v>0.30199999999999999</v>
      </c>
      <c r="E7">
        <v>0.30599999999999999</v>
      </c>
      <c r="F7">
        <v>0.30199999999999999</v>
      </c>
      <c r="G7">
        <v>2E-3</v>
      </c>
    </row>
    <row r="8" spans="1:8" x14ac:dyDescent="0.25">
      <c r="A8" t="s">
        <v>14</v>
      </c>
      <c r="B8">
        <v>3</v>
      </c>
      <c r="C8">
        <v>0.29699999999999999</v>
      </c>
      <c r="D8">
        <v>0.30499999999999999</v>
      </c>
      <c r="E8">
        <v>0.30499999999999999</v>
      </c>
      <c r="F8">
        <v>0.29299999999999998</v>
      </c>
      <c r="G8">
        <v>7.0000000000000001E-3</v>
      </c>
    </row>
    <row r="9" spans="1:8" x14ac:dyDescent="0.25">
      <c r="A9" t="s">
        <v>15</v>
      </c>
      <c r="B9">
        <v>5</v>
      </c>
      <c r="C9">
        <v>1.1080000000000001</v>
      </c>
      <c r="D9">
        <v>1.1120000000000001</v>
      </c>
      <c r="E9">
        <v>1.115</v>
      </c>
      <c r="F9">
        <v>1.097</v>
      </c>
      <c r="G9">
        <v>7.0000000000000001E-3</v>
      </c>
    </row>
    <row r="10" spans="1:8" x14ac:dyDescent="0.25">
      <c r="A10" t="s">
        <v>16</v>
      </c>
      <c r="B10">
        <v>5</v>
      </c>
      <c r="C10">
        <v>0.29899999999999999</v>
      </c>
      <c r="D10">
        <v>0.29899999999999999</v>
      </c>
      <c r="E10">
        <v>0.3</v>
      </c>
      <c r="F10">
        <v>0.29699999999999999</v>
      </c>
      <c r="G10">
        <v>1E-3</v>
      </c>
    </row>
    <row r="11" spans="1:8" x14ac:dyDescent="0.25">
      <c r="A11" t="s">
        <v>17</v>
      </c>
      <c r="B11">
        <v>5</v>
      </c>
      <c r="C11">
        <v>0.61599999999999999</v>
      </c>
      <c r="D11">
        <v>0.61799999999999999</v>
      </c>
      <c r="E11">
        <v>0.61799999999999999</v>
      </c>
      <c r="F11">
        <v>0.61399999999999999</v>
      </c>
      <c r="G11">
        <v>1E-3</v>
      </c>
    </row>
    <row r="12" spans="1:8" x14ac:dyDescent="0.25">
      <c r="A12" t="s">
        <v>18</v>
      </c>
      <c r="B12">
        <v>6</v>
      </c>
      <c r="C12">
        <v>7.0000000000000001E-3</v>
      </c>
      <c r="D12">
        <v>7.0000000000000001E-3</v>
      </c>
      <c r="E12">
        <v>7.0000000000000001E-3</v>
      </c>
      <c r="F12">
        <v>7.0000000000000001E-3</v>
      </c>
      <c r="G12">
        <v>0</v>
      </c>
    </row>
    <row r="13" spans="1:8" x14ac:dyDescent="0.25">
      <c r="A13" t="s">
        <v>19</v>
      </c>
      <c r="B13">
        <v>6</v>
      </c>
      <c r="C13">
        <v>0.25</v>
      </c>
      <c r="D13">
        <v>0.249</v>
      </c>
      <c r="E13">
        <v>0.251</v>
      </c>
      <c r="F13">
        <v>0.249</v>
      </c>
      <c r="G13">
        <v>1E-3</v>
      </c>
    </row>
    <row r="14" spans="1:8" x14ac:dyDescent="0.25">
      <c r="A14" t="s">
        <v>20</v>
      </c>
      <c r="B14">
        <v>6</v>
      </c>
      <c r="C14">
        <v>3.7999999999999999E-2</v>
      </c>
      <c r="D14">
        <v>3.7999999999999999E-2</v>
      </c>
      <c r="E14">
        <v>3.7999999999999999E-2</v>
      </c>
      <c r="F14">
        <v>3.7999999999999999E-2</v>
      </c>
      <c r="G14">
        <v>0</v>
      </c>
      <c r="H14" s="1"/>
    </row>
    <row r="15" spans="1:8" x14ac:dyDescent="0.25">
      <c r="A15" t="s">
        <v>21</v>
      </c>
      <c r="B15">
        <v>6</v>
      </c>
      <c r="C15">
        <v>7.1999999999999995E-2</v>
      </c>
      <c r="D15">
        <v>7.1999999999999995E-2</v>
      </c>
      <c r="E15">
        <v>7.1999999999999995E-2</v>
      </c>
      <c r="F15">
        <v>7.0999999999999994E-2</v>
      </c>
      <c r="G15">
        <v>1E-3</v>
      </c>
    </row>
    <row r="16" spans="1:8" x14ac:dyDescent="0.25">
      <c r="A16" t="s">
        <v>22</v>
      </c>
      <c r="B16">
        <v>5</v>
      </c>
      <c r="C16">
        <v>0.27800000000000002</v>
      </c>
      <c r="D16">
        <v>0.27700000000000002</v>
      </c>
      <c r="E16">
        <v>0.28199999999999997</v>
      </c>
      <c r="F16">
        <v>0.27700000000000002</v>
      </c>
      <c r="G16">
        <v>2E-3</v>
      </c>
    </row>
    <row r="17" spans="1:7" x14ac:dyDescent="0.25">
      <c r="A17" t="s">
        <v>23</v>
      </c>
      <c r="B17">
        <v>5</v>
      </c>
      <c r="C17">
        <v>0.11600000000000001</v>
      </c>
      <c r="D17">
        <v>0.11600000000000001</v>
      </c>
      <c r="E17">
        <v>0.11600000000000001</v>
      </c>
      <c r="F17">
        <v>0.11600000000000001</v>
      </c>
      <c r="G17">
        <v>0</v>
      </c>
    </row>
    <row r="18" spans="1:7" x14ac:dyDescent="0.25">
      <c r="A18" t="s">
        <v>24</v>
      </c>
      <c r="B18">
        <v>5</v>
      </c>
      <c r="C18">
        <v>5.6000000000000001E-2</v>
      </c>
      <c r="D18">
        <v>5.7000000000000002E-2</v>
      </c>
      <c r="E18">
        <v>5.7000000000000002E-2</v>
      </c>
      <c r="F18">
        <v>5.6000000000000001E-2</v>
      </c>
      <c r="G18">
        <v>1E-3</v>
      </c>
    </row>
    <row r="19" spans="1:7" x14ac:dyDescent="0.25">
      <c r="A19" t="s">
        <v>25</v>
      </c>
      <c r="B19">
        <v>5</v>
      </c>
      <c r="C19">
        <v>0.23100000000000001</v>
      </c>
      <c r="D19">
        <v>0.23300000000000001</v>
      </c>
      <c r="E19">
        <v>0.23300000000000001</v>
      </c>
      <c r="F19">
        <v>0.23</v>
      </c>
      <c r="G19">
        <v>1E-3</v>
      </c>
    </row>
    <row r="20" spans="1:7" x14ac:dyDescent="0.25">
      <c r="A20" t="s">
        <v>26</v>
      </c>
      <c r="B20">
        <v>5</v>
      </c>
      <c r="C20">
        <v>2.8000000000000001E-2</v>
      </c>
      <c r="D20">
        <v>2.8000000000000001E-2</v>
      </c>
      <c r="E20">
        <v>2.8000000000000001E-2</v>
      </c>
      <c r="F20">
        <v>2.8000000000000001E-2</v>
      </c>
      <c r="G20">
        <v>0</v>
      </c>
    </row>
    <row r="21" spans="1:7" x14ac:dyDescent="0.25">
      <c r="A21" t="s">
        <v>27</v>
      </c>
      <c r="B21">
        <v>5</v>
      </c>
      <c r="C21">
        <v>0.19900000000000001</v>
      </c>
      <c r="D21">
        <v>0.19900000000000001</v>
      </c>
      <c r="E21">
        <v>0.19900000000000001</v>
      </c>
      <c r="F21">
        <v>0.19800000000000001</v>
      </c>
      <c r="G21">
        <v>1E-3</v>
      </c>
    </row>
    <row r="22" spans="1:7" x14ac:dyDescent="0.25">
      <c r="A22" t="s">
        <v>28</v>
      </c>
      <c r="B22">
        <v>8</v>
      </c>
      <c r="C22">
        <v>0.156</v>
      </c>
      <c r="D22">
        <v>0.155</v>
      </c>
      <c r="E22">
        <v>0.156</v>
      </c>
      <c r="F22">
        <v>0.155</v>
      </c>
      <c r="G22">
        <v>1E-3</v>
      </c>
    </row>
    <row r="23" spans="1:7" x14ac:dyDescent="0.25">
      <c r="A23" t="s">
        <v>29</v>
      </c>
      <c r="B23">
        <v>8</v>
      </c>
      <c r="C23">
        <v>0.121</v>
      </c>
      <c r="D23">
        <v>0.122</v>
      </c>
      <c r="E23">
        <v>0.122</v>
      </c>
      <c r="F23">
        <v>0.121</v>
      </c>
      <c r="G23">
        <v>0</v>
      </c>
    </row>
    <row r="24" spans="1:7" x14ac:dyDescent="0.25">
      <c r="A24" t="s">
        <v>30</v>
      </c>
      <c r="B24">
        <v>8</v>
      </c>
      <c r="C24">
        <v>0.122</v>
      </c>
      <c r="D24">
        <v>0.123</v>
      </c>
      <c r="E24">
        <v>0.123</v>
      </c>
      <c r="F24">
        <v>0.121</v>
      </c>
      <c r="G24">
        <v>1E-3</v>
      </c>
    </row>
    <row r="25" spans="1:7" x14ac:dyDescent="0.25">
      <c r="A25" t="s">
        <v>31</v>
      </c>
      <c r="B25">
        <v>8</v>
      </c>
      <c r="C25">
        <v>1.1060000000000001</v>
      </c>
      <c r="D25">
        <v>1.1040000000000001</v>
      </c>
      <c r="E25">
        <v>1.1080000000000001</v>
      </c>
      <c r="F25">
        <v>1.1040000000000001</v>
      </c>
      <c r="G25">
        <v>2E-3</v>
      </c>
    </row>
    <row r="26" spans="1:7" x14ac:dyDescent="0.25">
      <c r="A26" t="s">
        <v>32</v>
      </c>
      <c r="B26">
        <v>8</v>
      </c>
      <c r="C26">
        <v>0.10299999999999999</v>
      </c>
      <c r="D26">
        <v>0.10299999999999999</v>
      </c>
      <c r="E26">
        <v>0.104</v>
      </c>
      <c r="F26">
        <v>0.10299999999999999</v>
      </c>
      <c r="G26">
        <v>0</v>
      </c>
    </row>
    <row r="27" spans="1:7" x14ac:dyDescent="0.25">
      <c r="A27" t="s">
        <v>33</v>
      </c>
      <c r="B27">
        <v>5</v>
      </c>
      <c r="C27">
        <v>2E-3</v>
      </c>
      <c r="D27">
        <v>2E-3</v>
      </c>
      <c r="E27">
        <v>2E-3</v>
      </c>
      <c r="F27">
        <v>2E-3</v>
      </c>
      <c r="G27">
        <v>0</v>
      </c>
    </row>
    <row r="28" spans="1:7" x14ac:dyDescent="0.25">
      <c r="A28" t="s">
        <v>34</v>
      </c>
      <c r="B28">
        <v>5</v>
      </c>
      <c r="C28">
        <v>5.2999999999999999E-2</v>
      </c>
      <c r="D28">
        <v>5.2999999999999999E-2</v>
      </c>
      <c r="E28">
        <v>5.2999999999999999E-2</v>
      </c>
      <c r="F28">
        <v>5.2999999999999999E-2</v>
      </c>
      <c r="G28">
        <v>0</v>
      </c>
    </row>
    <row r="29" spans="1:7" x14ac:dyDescent="0.25">
      <c r="A29" t="s">
        <v>35</v>
      </c>
      <c r="B29">
        <v>20</v>
      </c>
      <c r="C29">
        <v>5.0999999999999997E-2</v>
      </c>
      <c r="D29">
        <v>5.0999999999999997E-2</v>
      </c>
      <c r="E29">
        <v>5.1999999999999998E-2</v>
      </c>
      <c r="F29">
        <v>5.0999999999999997E-2</v>
      </c>
      <c r="G29">
        <v>0</v>
      </c>
    </row>
    <row r="30" spans="1:7" x14ac:dyDescent="0.25">
      <c r="A30" t="s">
        <v>36</v>
      </c>
      <c r="B30">
        <v>20</v>
      </c>
      <c r="C30">
        <v>0.03</v>
      </c>
      <c r="D30">
        <v>2.9000000000000001E-2</v>
      </c>
      <c r="E30">
        <v>3.1E-2</v>
      </c>
      <c r="F30">
        <v>2.9000000000000001E-2</v>
      </c>
      <c r="G30">
        <v>1E-3</v>
      </c>
    </row>
    <row r="31" spans="1:7" x14ac:dyDescent="0.25">
      <c r="A31" t="s">
        <v>37</v>
      </c>
      <c r="B31">
        <v>20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 t="s">
        <v>38</v>
      </c>
      <c r="B32">
        <v>20</v>
      </c>
      <c r="C32">
        <v>2.9000000000000001E-2</v>
      </c>
      <c r="D32">
        <v>2.9000000000000001E-2</v>
      </c>
      <c r="E32">
        <v>0.03</v>
      </c>
      <c r="F32">
        <v>2.5999999999999999E-2</v>
      </c>
      <c r="G32">
        <v>1E-3</v>
      </c>
    </row>
    <row r="33" spans="1:8" x14ac:dyDescent="0.25">
      <c r="A33" t="s">
        <v>39</v>
      </c>
      <c r="B33">
        <v>5</v>
      </c>
      <c r="C33">
        <v>1.0940000000000001</v>
      </c>
      <c r="D33">
        <v>1.107</v>
      </c>
      <c r="E33">
        <v>1.107</v>
      </c>
      <c r="F33">
        <v>1.0880000000000001</v>
      </c>
      <c r="G33">
        <v>8.0000000000000002E-3</v>
      </c>
    </row>
    <row r="34" spans="1:8" x14ac:dyDescent="0.25">
      <c r="A34" t="s">
        <v>40</v>
      </c>
      <c r="B34">
        <v>5</v>
      </c>
      <c r="C34">
        <v>0.96499999999999997</v>
      </c>
      <c r="D34">
        <v>0.96199999999999997</v>
      </c>
      <c r="E34">
        <v>0.96899999999999997</v>
      </c>
      <c r="F34">
        <v>0.96199999999999997</v>
      </c>
      <c r="G34">
        <v>3.0000000000000001E-3</v>
      </c>
      <c r="H34" s="1"/>
    </row>
    <row r="35" spans="1:8" x14ac:dyDescent="0.25">
      <c r="A35" t="s">
        <v>41</v>
      </c>
      <c r="B35">
        <v>5</v>
      </c>
      <c r="C35">
        <v>1.3</v>
      </c>
      <c r="D35">
        <v>1.304</v>
      </c>
      <c r="E35">
        <v>1.304</v>
      </c>
      <c r="F35">
        <v>1.2969999999999999</v>
      </c>
      <c r="G35">
        <v>3.0000000000000001E-3</v>
      </c>
    </row>
    <row r="36" spans="1:8" x14ac:dyDescent="0.25">
      <c r="A36" t="s">
        <v>42</v>
      </c>
      <c r="B36">
        <v>5</v>
      </c>
      <c r="C36">
        <v>1.91</v>
      </c>
      <c r="D36">
        <v>1.839</v>
      </c>
      <c r="E36">
        <v>2.0590000000000002</v>
      </c>
      <c r="F36">
        <v>1.839</v>
      </c>
      <c r="G36">
        <v>8.8999999999999996E-2</v>
      </c>
    </row>
    <row r="37" spans="1:8" x14ac:dyDescent="0.25">
      <c r="A37" t="s">
        <v>43</v>
      </c>
      <c r="B37">
        <v>5</v>
      </c>
      <c r="C37">
        <v>1.0489999999999999</v>
      </c>
      <c r="D37">
        <v>1.01</v>
      </c>
      <c r="E37">
        <v>1.194</v>
      </c>
      <c r="F37">
        <v>1.01</v>
      </c>
      <c r="G37">
        <v>8.1000000000000003E-2</v>
      </c>
    </row>
    <row r="38" spans="1:8" x14ac:dyDescent="0.25">
      <c r="A38" t="s">
        <v>44</v>
      </c>
      <c r="B38">
        <v>5</v>
      </c>
      <c r="C38">
        <v>0.85699999999999998</v>
      </c>
      <c r="D38">
        <v>0.86199999999999999</v>
      </c>
      <c r="E38">
        <v>0.88100000000000001</v>
      </c>
      <c r="F38">
        <v>0.84499999999999997</v>
      </c>
      <c r="G38">
        <v>1.4999999999999999E-2</v>
      </c>
    </row>
    <row r="39" spans="1:8" x14ac:dyDescent="0.25">
      <c r="A39" t="s">
        <v>45</v>
      </c>
      <c r="B39">
        <v>5</v>
      </c>
      <c r="C39">
        <v>1.3009999999999999</v>
      </c>
      <c r="D39">
        <v>1.3</v>
      </c>
      <c r="E39">
        <v>1.302</v>
      </c>
      <c r="F39">
        <v>1.2989999999999999</v>
      </c>
      <c r="G39">
        <v>1E-3</v>
      </c>
    </row>
    <row r="40" spans="1:8" x14ac:dyDescent="0.25">
      <c r="A40" t="s">
        <v>46</v>
      </c>
      <c r="B40">
        <v>5</v>
      </c>
      <c r="C40">
        <v>4.67</v>
      </c>
      <c r="D40">
        <v>4.6589999999999998</v>
      </c>
      <c r="E40">
        <v>4.7089999999999996</v>
      </c>
      <c r="F40">
        <v>4.6589999999999998</v>
      </c>
      <c r="G40">
        <v>2.1999999999999999E-2</v>
      </c>
    </row>
    <row r="41" spans="1:8" x14ac:dyDescent="0.25">
      <c r="A41" t="s">
        <v>47</v>
      </c>
      <c r="B41">
        <v>5</v>
      </c>
      <c r="C41">
        <v>0.94899999999999995</v>
      </c>
      <c r="D41">
        <v>0.94899999999999995</v>
      </c>
      <c r="E41">
        <v>0.95199999999999996</v>
      </c>
      <c r="F41">
        <v>0.94699999999999995</v>
      </c>
      <c r="G41">
        <v>2E-3</v>
      </c>
    </row>
    <row r="42" spans="1:8" x14ac:dyDescent="0.25">
      <c r="A42" t="s">
        <v>48</v>
      </c>
      <c r="B42">
        <v>8</v>
      </c>
      <c r="C42">
        <v>6.8000000000000005E-2</v>
      </c>
      <c r="D42">
        <v>6.7000000000000004E-2</v>
      </c>
      <c r="E42">
        <v>6.9000000000000006E-2</v>
      </c>
      <c r="F42">
        <v>6.7000000000000004E-2</v>
      </c>
      <c r="G42">
        <v>1E-3</v>
      </c>
    </row>
    <row r="43" spans="1:8" x14ac:dyDescent="0.25">
      <c r="A43" t="s">
        <v>49</v>
      </c>
      <c r="B43">
        <v>8</v>
      </c>
      <c r="C43">
        <v>0.78300000000000003</v>
      </c>
      <c r="D43">
        <v>0.78600000000000003</v>
      </c>
      <c r="E43">
        <v>0.78800000000000003</v>
      </c>
      <c r="F43">
        <v>0.78100000000000003</v>
      </c>
      <c r="G43">
        <v>3.0000000000000001E-3</v>
      </c>
    </row>
    <row r="44" spans="1:8" x14ac:dyDescent="0.25">
      <c r="A44" t="s">
        <v>50</v>
      </c>
      <c r="B44">
        <v>8</v>
      </c>
      <c r="C44">
        <v>1.2849999999999999</v>
      </c>
      <c r="D44">
        <v>1.29</v>
      </c>
      <c r="E44">
        <v>1.29</v>
      </c>
      <c r="F44">
        <v>1.2809999999999999</v>
      </c>
      <c r="G44">
        <v>3.0000000000000001E-3</v>
      </c>
    </row>
    <row r="45" spans="1:8" x14ac:dyDescent="0.25">
      <c r="A45" t="s">
        <v>51</v>
      </c>
      <c r="B45">
        <v>8</v>
      </c>
      <c r="C45">
        <v>1.2669999999999999</v>
      </c>
      <c r="D45">
        <v>1.27</v>
      </c>
      <c r="E45">
        <v>1.2709999999999999</v>
      </c>
      <c r="F45">
        <v>1.264</v>
      </c>
      <c r="G45">
        <v>3.0000000000000001E-3</v>
      </c>
    </row>
    <row r="46" spans="1:8" x14ac:dyDescent="0.25">
      <c r="A46" t="s">
        <v>52</v>
      </c>
      <c r="B46">
        <v>8</v>
      </c>
      <c r="C46">
        <v>1.556</v>
      </c>
      <c r="D46">
        <v>1.4670000000000001</v>
      </c>
      <c r="E46">
        <v>1.577</v>
      </c>
      <c r="F46">
        <v>1.4670000000000001</v>
      </c>
      <c r="G46">
        <v>3.5999999999999997E-2</v>
      </c>
    </row>
    <row r="47" spans="1:8" x14ac:dyDescent="0.25">
      <c r="A47" t="s">
        <v>53</v>
      </c>
      <c r="B47">
        <v>8</v>
      </c>
      <c r="C47">
        <v>1.0900000000000001</v>
      </c>
      <c r="D47">
        <v>1.103</v>
      </c>
      <c r="E47">
        <v>1.103</v>
      </c>
      <c r="F47">
        <v>1.079</v>
      </c>
      <c r="G47">
        <v>8.0000000000000002E-3</v>
      </c>
    </row>
    <row r="48" spans="1:8" x14ac:dyDescent="0.25">
      <c r="A48" t="s">
        <v>54</v>
      </c>
      <c r="B48">
        <v>8</v>
      </c>
      <c r="C48">
        <v>0.78100000000000003</v>
      </c>
      <c r="D48">
        <v>0.78100000000000003</v>
      </c>
      <c r="E48">
        <v>0.78600000000000003</v>
      </c>
      <c r="F48">
        <v>0.77500000000000002</v>
      </c>
      <c r="G48">
        <v>4.0000000000000001E-3</v>
      </c>
    </row>
    <row r="49" spans="1:7" x14ac:dyDescent="0.25">
      <c r="A49" t="s">
        <v>55</v>
      </c>
      <c r="B49">
        <v>8</v>
      </c>
      <c r="C49">
        <v>1.3480000000000001</v>
      </c>
      <c r="D49">
        <v>1.349</v>
      </c>
      <c r="E49">
        <v>1.351</v>
      </c>
      <c r="F49">
        <v>1.345</v>
      </c>
      <c r="G49">
        <v>2E-3</v>
      </c>
    </row>
    <row r="50" spans="1:7" x14ac:dyDescent="0.25">
      <c r="A50" t="s">
        <v>56</v>
      </c>
      <c r="B50">
        <v>8</v>
      </c>
      <c r="C50">
        <v>1.1459999999999999</v>
      </c>
      <c r="D50">
        <v>1.149</v>
      </c>
      <c r="E50">
        <v>1.1499999999999999</v>
      </c>
      <c r="F50">
        <v>1.1419999999999999</v>
      </c>
      <c r="G50">
        <v>3.0000000000000001E-3</v>
      </c>
    </row>
    <row r="51" spans="1:7" x14ac:dyDescent="0.25">
      <c r="A51" t="s">
        <v>57</v>
      </c>
      <c r="B51">
        <v>8</v>
      </c>
      <c r="C51">
        <v>0.69899999999999995</v>
      </c>
      <c r="D51">
        <v>0.69799999999999995</v>
      </c>
      <c r="E51">
        <v>0.70199999999999996</v>
      </c>
      <c r="F51">
        <v>0.69799999999999995</v>
      </c>
      <c r="G51">
        <v>1E-3</v>
      </c>
    </row>
    <row r="52" spans="1:7" x14ac:dyDescent="0.25">
      <c r="A52" t="s">
        <v>58</v>
      </c>
      <c r="B52">
        <v>8</v>
      </c>
      <c r="C52">
        <v>0.73699999999999999</v>
      </c>
      <c r="D52">
        <v>0.73499999999999999</v>
      </c>
      <c r="E52">
        <v>0.74099999999999999</v>
      </c>
      <c r="F52">
        <v>0.73499999999999999</v>
      </c>
      <c r="G52">
        <v>2E-3</v>
      </c>
    </row>
    <row r="53" spans="1:7" x14ac:dyDescent="0.25">
      <c r="A53" t="s">
        <v>59</v>
      </c>
      <c r="B53">
        <v>8</v>
      </c>
      <c r="C53">
        <v>0.37</v>
      </c>
      <c r="D53">
        <v>0.38100000000000001</v>
      </c>
      <c r="E53">
        <v>0.38100000000000001</v>
      </c>
      <c r="F53">
        <v>0.36799999999999999</v>
      </c>
      <c r="G53">
        <v>4.0000000000000001E-3</v>
      </c>
    </row>
    <row r="54" spans="1:7" x14ac:dyDescent="0.25">
      <c r="A54" t="s">
        <v>60</v>
      </c>
      <c r="B54">
        <v>8</v>
      </c>
      <c r="C54">
        <v>1.2E-2</v>
      </c>
      <c r="D54">
        <v>1.2999999999999999E-2</v>
      </c>
      <c r="E54">
        <v>1.2999999999999999E-2</v>
      </c>
      <c r="F54">
        <v>1.2E-2</v>
      </c>
      <c r="G54">
        <v>1E-3</v>
      </c>
    </row>
    <row r="55" spans="1:7" x14ac:dyDescent="0.25">
      <c r="A55" t="s">
        <v>61</v>
      </c>
      <c r="B55">
        <v>8</v>
      </c>
      <c r="C55">
        <v>7.0000000000000007E-2</v>
      </c>
      <c r="D55">
        <v>7.0999999999999994E-2</v>
      </c>
      <c r="E55">
        <v>7.0999999999999994E-2</v>
      </c>
      <c r="F55">
        <v>7.0000000000000007E-2</v>
      </c>
      <c r="G55">
        <v>1E-3</v>
      </c>
    </row>
    <row r="56" spans="1:7" x14ac:dyDescent="0.25">
      <c r="A56" t="s">
        <v>62</v>
      </c>
      <c r="B56">
        <v>8</v>
      </c>
      <c r="C56">
        <v>0.14099999999999999</v>
      </c>
      <c r="D56">
        <v>0.14199999999999999</v>
      </c>
      <c r="E56">
        <v>0.14199999999999999</v>
      </c>
      <c r="F56">
        <v>0.14099999999999999</v>
      </c>
      <c r="G56">
        <v>1E-3</v>
      </c>
    </row>
    <row r="57" spans="1:7" x14ac:dyDescent="0.25">
      <c r="A57" t="s">
        <v>63</v>
      </c>
      <c r="B57">
        <v>8</v>
      </c>
      <c r="C57">
        <v>0.14099999999999999</v>
      </c>
      <c r="D57">
        <v>0.14099999999999999</v>
      </c>
      <c r="E57">
        <v>0.14199999999999999</v>
      </c>
      <c r="F57">
        <v>0.14000000000000001</v>
      </c>
      <c r="G57">
        <v>1E-3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H5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1" max="1" width="39" bestFit="1" customWidth="1"/>
    <col min="2" max="2" width="3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8" x14ac:dyDescent="0.25">
      <c r="A2" t="s">
        <v>7</v>
      </c>
      <c r="B2">
        <v>8</v>
      </c>
      <c r="C2">
        <v>4.9000000000000002E-2</v>
      </c>
      <c r="D2">
        <v>8.2000000000000003E-2</v>
      </c>
      <c r="E2">
        <v>8.2000000000000003E-2</v>
      </c>
      <c r="F2">
        <v>4.2999999999999997E-2</v>
      </c>
      <c r="G2">
        <v>1.2999999999999999E-2</v>
      </c>
      <c r="H2" t="s">
        <v>8</v>
      </c>
    </row>
    <row r="3" spans="1:8" x14ac:dyDescent="0.25">
      <c r="A3" t="s">
        <v>9</v>
      </c>
      <c r="B3">
        <v>8</v>
      </c>
      <c r="C3">
        <v>0.02</v>
      </c>
      <c r="D3">
        <v>2.1000000000000001E-2</v>
      </c>
      <c r="E3">
        <v>2.1000000000000001E-2</v>
      </c>
      <c r="F3">
        <v>0.02</v>
      </c>
      <c r="G3">
        <v>0</v>
      </c>
    </row>
    <row r="4" spans="1:8" x14ac:dyDescent="0.25">
      <c r="A4" t="s">
        <v>10</v>
      </c>
      <c r="B4">
        <v>8</v>
      </c>
      <c r="C4">
        <v>0.02</v>
      </c>
      <c r="D4">
        <v>2.1999999999999999E-2</v>
      </c>
      <c r="E4">
        <v>2.1999999999999999E-2</v>
      </c>
      <c r="F4">
        <v>0.02</v>
      </c>
      <c r="G4">
        <v>1E-3</v>
      </c>
    </row>
    <row r="5" spans="1:8" x14ac:dyDescent="0.25">
      <c r="A5" t="s">
        <v>11</v>
      </c>
      <c r="B5">
        <v>3</v>
      </c>
      <c r="C5">
        <v>0.113</v>
      </c>
      <c r="D5">
        <v>0.112</v>
      </c>
      <c r="E5">
        <v>0.115</v>
      </c>
      <c r="F5">
        <v>0.111</v>
      </c>
      <c r="G5">
        <v>2E-3</v>
      </c>
    </row>
    <row r="6" spans="1:8" x14ac:dyDescent="0.25">
      <c r="A6" t="s">
        <v>12</v>
      </c>
      <c r="B6">
        <v>3</v>
      </c>
      <c r="C6">
        <v>0.39700000000000002</v>
      </c>
      <c r="D6">
        <v>0.39700000000000002</v>
      </c>
      <c r="E6">
        <v>0.39900000000000002</v>
      </c>
      <c r="F6">
        <v>0.39600000000000002</v>
      </c>
      <c r="G6">
        <v>2E-3</v>
      </c>
    </row>
    <row r="7" spans="1:8" x14ac:dyDescent="0.25">
      <c r="A7" t="s">
        <v>13</v>
      </c>
      <c r="B7">
        <v>3</v>
      </c>
      <c r="C7">
        <v>0.23599999999999999</v>
      </c>
      <c r="D7">
        <v>0.23799999999999999</v>
      </c>
      <c r="E7">
        <v>0.23799999999999999</v>
      </c>
      <c r="F7">
        <v>0.23300000000000001</v>
      </c>
      <c r="G7">
        <v>3.0000000000000001E-3</v>
      </c>
    </row>
    <row r="8" spans="1:8" x14ac:dyDescent="0.25">
      <c r="A8" t="s">
        <v>14</v>
      </c>
      <c r="B8">
        <v>3</v>
      </c>
      <c r="C8">
        <v>0.23499999999999999</v>
      </c>
      <c r="D8">
        <v>0.23699999999999999</v>
      </c>
      <c r="E8">
        <v>0.23699999999999999</v>
      </c>
      <c r="F8">
        <v>0.23400000000000001</v>
      </c>
      <c r="G8">
        <v>2E-3</v>
      </c>
    </row>
    <row r="9" spans="1:8" x14ac:dyDescent="0.25">
      <c r="A9" t="s">
        <v>15</v>
      </c>
      <c r="B9">
        <v>5</v>
      </c>
      <c r="C9">
        <v>1.214</v>
      </c>
      <c r="D9">
        <v>1.208</v>
      </c>
      <c r="E9">
        <v>1.2270000000000001</v>
      </c>
      <c r="F9">
        <v>1.202</v>
      </c>
      <c r="G9">
        <v>0.01</v>
      </c>
    </row>
    <row r="10" spans="1:8" x14ac:dyDescent="0.25">
      <c r="A10" t="s">
        <v>16</v>
      </c>
      <c r="B10">
        <v>5</v>
      </c>
      <c r="C10">
        <v>0.31900000000000001</v>
      </c>
      <c r="D10">
        <v>0.32300000000000001</v>
      </c>
      <c r="E10">
        <v>0.32300000000000001</v>
      </c>
      <c r="F10">
        <v>0.312</v>
      </c>
      <c r="G10">
        <v>5.0000000000000001E-3</v>
      </c>
    </row>
    <row r="11" spans="1:8" x14ac:dyDescent="0.25">
      <c r="A11" t="s">
        <v>17</v>
      </c>
      <c r="B11">
        <v>5</v>
      </c>
      <c r="C11">
        <v>0.65500000000000003</v>
      </c>
      <c r="D11">
        <v>0.65400000000000003</v>
      </c>
      <c r="E11">
        <v>0.66</v>
      </c>
      <c r="F11">
        <v>0.64900000000000002</v>
      </c>
      <c r="G11">
        <v>4.0000000000000001E-3</v>
      </c>
    </row>
    <row r="12" spans="1:8" x14ac:dyDescent="0.25">
      <c r="A12" t="s">
        <v>18</v>
      </c>
      <c r="B12">
        <v>6</v>
      </c>
      <c r="C12">
        <v>7.0000000000000001E-3</v>
      </c>
      <c r="D12">
        <v>7.0000000000000001E-3</v>
      </c>
      <c r="E12">
        <v>7.0000000000000001E-3</v>
      </c>
      <c r="F12">
        <v>7.0000000000000001E-3</v>
      </c>
      <c r="G12">
        <v>0</v>
      </c>
    </row>
    <row r="13" spans="1:8" x14ac:dyDescent="0.25">
      <c r="A13" t="s">
        <v>19</v>
      </c>
      <c r="B13">
        <v>6</v>
      </c>
      <c r="C13">
        <v>0.13700000000000001</v>
      </c>
      <c r="D13">
        <v>0.13800000000000001</v>
      </c>
      <c r="E13">
        <v>0.13800000000000001</v>
      </c>
      <c r="F13">
        <v>0.13600000000000001</v>
      </c>
      <c r="G13">
        <v>1E-3</v>
      </c>
    </row>
    <row r="14" spans="1:8" x14ac:dyDescent="0.25">
      <c r="A14" t="s">
        <v>20</v>
      </c>
      <c r="B14">
        <v>6</v>
      </c>
      <c r="C14">
        <v>3.3000000000000002E-2</v>
      </c>
      <c r="D14">
        <v>3.4000000000000002E-2</v>
      </c>
      <c r="E14">
        <v>3.4000000000000002E-2</v>
      </c>
      <c r="F14">
        <v>3.3000000000000002E-2</v>
      </c>
      <c r="G14">
        <v>0</v>
      </c>
      <c r="H14" s="1"/>
    </row>
    <row r="15" spans="1:8" x14ac:dyDescent="0.25">
      <c r="A15" t="s">
        <v>21</v>
      </c>
      <c r="B15">
        <v>6</v>
      </c>
      <c r="C15">
        <v>3.9E-2</v>
      </c>
      <c r="D15">
        <v>0.04</v>
      </c>
      <c r="E15">
        <v>0.04</v>
      </c>
      <c r="F15">
        <v>3.9E-2</v>
      </c>
      <c r="G15">
        <v>1E-3</v>
      </c>
    </row>
    <row r="16" spans="1:8" x14ac:dyDescent="0.25">
      <c r="A16" t="s">
        <v>22</v>
      </c>
      <c r="B16">
        <v>5</v>
      </c>
      <c r="C16">
        <v>0.56299999999999994</v>
      </c>
      <c r="D16">
        <v>0.56100000000000005</v>
      </c>
      <c r="E16">
        <v>0.56699999999999995</v>
      </c>
      <c r="F16">
        <v>0.56100000000000005</v>
      </c>
      <c r="G16">
        <v>2E-3</v>
      </c>
    </row>
    <row r="17" spans="1:7" x14ac:dyDescent="0.25">
      <c r="A17" t="s">
        <v>23</v>
      </c>
      <c r="B17">
        <v>5</v>
      </c>
      <c r="C17">
        <v>0.113</v>
      </c>
      <c r="D17">
        <v>0.114</v>
      </c>
      <c r="E17">
        <v>0.114</v>
      </c>
      <c r="F17">
        <v>0.113</v>
      </c>
      <c r="G17">
        <v>1E-3</v>
      </c>
    </row>
    <row r="18" spans="1:7" x14ac:dyDescent="0.25">
      <c r="A18" t="s">
        <v>24</v>
      </c>
      <c r="B18">
        <v>5</v>
      </c>
      <c r="C18">
        <v>5.0999999999999997E-2</v>
      </c>
      <c r="D18">
        <v>5.1999999999999998E-2</v>
      </c>
      <c r="E18">
        <v>5.1999999999999998E-2</v>
      </c>
      <c r="F18">
        <v>5.0999999999999997E-2</v>
      </c>
      <c r="G18">
        <v>0</v>
      </c>
    </row>
    <row r="19" spans="1:7" x14ac:dyDescent="0.25">
      <c r="A19" t="s">
        <v>25</v>
      </c>
      <c r="B19">
        <v>5</v>
      </c>
      <c r="C19">
        <v>0.187</v>
      </c>
      <c r="D19">
        <v>0.189</v>
      </c>
      <c r="E19">
        <v>0.189</v>
      </c>
      <c r="F19">
        <v>0.187</v>
      </c>
      <c r="G19">
        <v>1E-3</v>
      </c>
    </row>
    <row r="20" spans="1:7" x14ac:dyDescent="0.25">
      <c r="A20" t="s">
        <v>26</v>
      </c>
      <c r="B20">
        <v>5</v>
      </c>
      <c r="C20">
        <v>2.4E-2</v>
      </c>
      <c r="D20">
        <v>2.5000000000000001E-2</v>
      </c>
      <c r="E20">
        <v>2.5000000000000001E-2</v>
      </c>
      <c r="F20">
        <v>2.4E-2</v>
      </c>
      <c r="G20">
        <v>0</v>
      </c>
    </row>
    <row r="21" spans="1:7" x14ac:dyDescent="0.25">
      <c r="A21" t="s">
        <v>27</v>
      </c>
      <c r="B21">
        <v>5</v>
      </c>
      <c r="C21">
        <v>2.5000000000000001E-2</v>
      </c>
      <c r="D21">
        <v>2.5999999999999999E-2</v>
      </c>
      <c r="E21">
        <v>2.5999999999999999E-2</v>
      </c>
      <c r="F21">
        <v>2.5000000000000001E-2</v>
      </c>
      <c r="G21">
        <v>0</v>
      </c>
    </row>
    <row r="22" spans="1:7" x14ac:dyDescent="0.25">
      <c r="A22" t="s">
        <v>28</v>
      </c>
      <c r="B22">
        <v>8</v>
      </c>
      <c r="C22">
        <v>0.20699999999999999</v>
      </c>
      <c r="D22">
        <v>0.20899999999999999</v>
      </c>
      <c r="E22">
        <v>0.20899999999999999</v>
      </c>
      <c r="F22">
        <v>0.20599999999999999</v>
      </c>
      <c r="G22">
        <v>1E-3</v>
      </c>
    </row>
    <row r="23" spans="1:7" x14ac:dyDescent="0.25">
      <c r="A23" t="s">
        <v>29</v>
      </c>
      <c r="B23">
        <v>8</v>
      </c>
      <c r="C23">
        <v>0.156</v>
      </c>
      <c r="D23">
        <v>0.158</v>
      </c>
      <c r="E23">
        <v>0.158</v>
      </c>
      <c r="F23">
        <v>0.154</v>
      </c>
      <c r="G23">
        <v>1E-3</v>
      </c>
    </row>
    <row r="24" spans="1:7" x14ac:dyDescent="0.25">
      <c r="A24" t="s">
        <v>30</v>
      </c>
      <c r="B24">
        <v>8</v>
      </c>
      <c r="C24">
        <v>0.155</v>
      </c>
      <c r="D24">
        <v>0.158</v>
      </c>
      <c r="E24">
        <v>0.158</v>
      </c>
      <c r="F24">
        <v>0.154</v>
      </c>
      <c r="G24">
        <v>1E-3</v>
      </c>
    </row>
    <row r="25" spans="1:7" x14ac:dyDescent="0.25">
      <c r="A25" t="s">
        <v>31</v>
      </c>
      <c r="B25">
        <v>8</v>
      </c>
      <c r="C25">
        <v>0.67300000000000004</v>
      </c>
      <c r="D25">
        <v>0.67300000000000004</v>
      </c>
      <c r="E25">
        <v>0.67800000000000005</v>
      </c>
      <c r="F25">
        <v>0.67100000000000004</v>
      </c>
      <c r="G25">
        <v>2E-3</v>
      </c>
    </row>
    <row r="26" spans="1:7" x14ac:dyDescent="0.25">
      <c r="A26" t="s">
        <v>32</v>
      </c>
      <c r="B26">
        <v>8</v>
      </c>
      <c r="C26">
        <v>0.156</v>
      </c>
      <c r="D26">
        <v>0.157</v>
      </c>
      <c r="E26">
        <v>0.157</v>
      </c>
      <c r="F26">
        <v>0.155</v>
      </c>
      <c r="G26">
        <v>1E-3</v>
      </c>
    </row>
    <row r="27" spans="1:7" x14ac:dyDescent="0.25">
      <c r="A27" t="s">
        <v>33</v>
      </c>
      <c r="B27">
        <v>5</v>
      </c>
      <c r="C27">
        <v>1E-3</v>
      </c>
      <c r="D27">
        <v>3.0000000000000001E-3</v>
      </c>
      <c r="E27">
        <v>3.0000000000000001E-3</v>
      </c>
      <c r="F27">
        <v>1E-3</v>
      </c>
      <c r="G27">
        <v>1E-3</v>
      </c>
    </row>
    <row r="28" spans="1:7" x14ac:dyDescent="0.25">
      <c r="A28" t="s">
        <v>34</v>
      </c>
      <c r="B28">
        <v>5</v>
      </c>
      <c r="C28">
        <v>3.5000000000000003E-2</v>
      </c>
      <c r="D28">
        <v>3.5999999999999997E-2</v>
      </c>
      <c r="E28">
        <v>3.5999999999999997E-2</v>
      </c>
      <c r="F28">
        <v>3.5000000000000003E-2</v>
      </c>
      <c r="G28">
        <v>0</v>
      </c>
    </row>
    <row r="29" spans="1:7" x14ac:dyDescent="0.25">
      <c r="A29" t="s">
        <v>35</v>
      </c>
      <c r="B29">
        <v>20</v>
      </c>
      <c r="C29">
        <v>3.5000000000000003E-2</v>
      </c>
      <c r="D29">
        <v>3.5000000000000003E-2</v>
      </c>
      <c r="E29">
        <v>3.5999999999999997E-2</v>
      </c>
      <c r="F29">
        <v>3.5000000000000003E-2</v>
      </c>
      <c r="G29">
        <v>0</v>
      </c>
    </row>
    <row r="30" spans="1:7" x14ac:dyDescent="0.25">
      <c r="A30" t="s">
        <v>36</v>
      </c>
      <c r="B30">
        <v>20</v>
      </c>
      <c r="C30">
        <v>2.4E-2</v>
      </c>
      <c r="D30">
        <v>2.5000000000000001E-2</v>
      </c>
      <c r="E30">
        <v>2.5000000000000001E-2</v>
      </c>
      <c r="F30">
        <v>2.4E-2</v>
      </c>
      <c r="G30">
        <v>0</v>
      </c>
    </row>
    <row r="31" spans="1:7" x14ac:dyDescent="0.25">
      <c r="A31" t="s">
        <v>37</v>
      </c>
      <c r="B31">
        <v>20</v>
      </c>
      <c r="C31">
        <v>1E-3</v>
      </c>
      <c r="D31">
        <v>1E-3</v>
      </c>
      <c r="E31">
        <v>1E-3</v>
      </c>
      <c r="F31">
        <v>1E-3</v>
      </c>
      <c r="G31">
        <v>0</v>
      </c>
    </row>
    <row r="32" spans="1:7" x14ac:dyDescent="0.25">
      <c r="A32" t="s">
        <v>38</v>
      </c>
      <c r="B32">
        <v>20</v>
      </c>
      <c r="C32">
        <v>2.3E-2</v>
      </c>
      <c r="D32">
        <v>2.3E-2</v>
      </c>
      <c r="E32">
        <v>2.3E-2</v>
      </c>
      <c r="F32">
        <v>2.3E-2</v>
      </c>
      <c r="G32">
        <v>0</v>
      </c>
    </row>
    <row r="33" spans="1:8" x14ac:dyDescent="0.25">
      <c r="A33" t="s">
        <v>39</v>
      </c>
      <c r="B33">
        <v>5</v>
      </c>
      <c r="C33">
        <v>0.96799999999999997</v>
      </c>
      <c r="D33">
        <v>0.97699999999999998</v>
      </c>
      <c r="E33">
        <v>0.97699999999999998</v>
      </c>
      <c r="F33">
        <v>0.96399999999999997</v>
      </c>
      <c r="G33">
        <v>5.0000000000000001E-3</v>
      </c>
    </row>
    <row r="34" spans="1:8" x14ac:dyDescent="0.25">
      <c r="A34" t="s">
        <v>40</v>
      </c>
      <c r="B34">
        <v>5</v>
      </c>
      <c r="C34">
        <v>3.8959999999999999</v>
      </c>
      <c r="D34">
        <v>3.9</v>
      </c>
      <c r="E34">
        <v>3.9</v>
      </c>
      <c r="F34">
        <v>3.8940000000000001</v>
      </c>
      <c r="G34">
        <v>3.0000000000000001E-3</v>
      </c>
      <c r="H34" s="1"/>
    </row>
    <row r="35" spans="1:8" x14ac:dyDescent="0.25">
      <c r="A35" t="s">
        <v>41</v>
      </c>
      <c r="B35">
        <v>5</v>
      </c>
      <c r="C35">
        <v>0.73399999999999999</v>
      </c>
      <c r="D35">
        <v>0.73399999999999999</v>
      </c>
      <c r="E35">
        <v>0.73599999999999999</v>
      </c>
      <c r="F35">
        <v>0.73199999999999998</v>
      </c>
      <c r="G35">
        <v>2E-3</v>
      </c>
    </row>
    <row r="36" spans="1:8" x14ac:dyDescent="0.25">
      <c r="A36" t="s">
        <v>42</v>
      </c>
      <c r="B36">
        <v>5</v>
      </c>
      <c r="C36">
        <v>3.68</v>
      </c>
      <c r="D36">
        <v>3.6789999999999998</v>
      </c>
      <c r="E36">
        <v>3.6829999999999998</v>
      </c>
      <c r="F36">
        <v>3.6779999999999999</v>
      </c>
      <c r="G36">
        <v>2E-3</v>
      </c>
    </row>
    <row r="37" spans="1:8" x14ac:dyDescent="0.25">
      <c r="A37" t="s">
        <v>43</v>
      </c>
      <c r="B37">
        <v>5</v>
      </c>
      <c r="C37">
        <v>0.81200000000000006</v>
      </c>
      <c r="D37">
        <v>0.80900000000000005</v>
      </c>
      <c r="E37">
        <v>0.81699999999999995</v>
      </c>
      <c r="F37">
        <v>0.80900000000000005</v>
      </c>
      <c r="G37">
        <v>3.0000000000000001E-3</v>
      </c>
    </row>
    <row r="38" spans="1:8" x14ac:dyDescent="0.25">
      <c r="A38" t="s">
        <v>44</v>
      </c>
      <c r="B38">
        <v>5</v>
      </c>
      <c r="C38">
        <v>0.82</v>
      </c>
      <c r="D38">
        <v>0.82599999999999996</v>
      </c>
      <c r="E38">
        <v>0.82599999999999996</v>
      </c>
      <c r="F38">
        <v>0.81599999999999995</v>
      </c>
      <c r="G38">
        <v>4.0000000000000001E-3</v>
      </c>
    </row>
    <row r="39" spans="1:8" x14ac:dyDescent="0.25">
      <c r="A39" t="s">
        <v>45</v>
      </c>
      <c r="B39">
        <v>5</v>
      </c>
      <c r="C39">
        <v>0.65500000000000003</v>
      </c>
      <c r="D39">
        <v>0.65700000000000003</v>
      </c>
      <c r="E39">
        <v>0.65700000000000003</v>
      </c>
      <c r="F39">
        <v>0.65300000000000002</v>
      </c>
      <c r="G39">
        <v>2E-3</v>
      </c>
    </row>
    <row r="40" spans="1:8" x14ac:dyDescent="0.25">
      <c r="A40" t="s">
        <v>46</v>
      </c>
      <c r="B40">
        <v>5</v>
      </c>
      <c r="C40">
        <v>5.6929999999999996</v>
      </c>
      <c r="D40">
        <v>5.7039999999999997</v>
      </c>
      <c r="E40">
        <v>5.7039999999999997</v>
      </c>
      <c r="F40">
        <v>5.6879999999999997</v>
      </c>
      <c r="G40">
        <v>7.0000000000000001E-3</v>
      </c>
    </row>
    <row r="41" spans="1:8" x14ac:dyDescent="0.25">
      <c r="A41" t="s">
        <v>47</v>
      </c>
      <c r="B41">
        <v>5</v>
      </c>
      <c r="C41">
        <v>0.90500000000000003</v>
      </c>
      <c r="D41">
        <v>0.90500000000000003</v>
      </c>
      <c r="E41">
        <v>0.90900000000000003</v>
      </c>
      <c r="F41">
        <v>0.90200000000000002</v>
      </c>
      <c r="G41">
        <v>3.0000000000000001E-3</v>
      </c>
    </row>
    <row r="42" spans="1:8" x14ac:dyDescent="0.25">
      <c r="A42" t="s">
        <v>48</v>
      </c>
      <c r="B42">
        <v>8</v>
      </c>
      <c r="C42">
        <v>0.114</v>
      </c>
      <c r="D42">
        <v>0.13</v>
      </c>
      <c r="E42">
        <v>0.13</v>
      </c>
      <c r="F42">
        <v>0.111</v>
      </c>
      <c r="G42">
        <v>7.0000000000000001E-3</v>
      </c>
    </row>
    <row r="43" spans="1:8" x14ac:dyDescent="0.25">
      <c r="A43" t="s">
        <v>49</v>
      </c>
      <c r="B43">
        <v>8</v>
      </c>
      <c r="C43">
        <v>0.92600000000000005</v>
      </c>
      <c r="D43">
        <v>0.93</v>
      </c>
      <c r="E43">
        <v>0.93</v>
      </c>
      <c r="F43">
        <v>0.92400000000000004</v>
      </c>
      <c r="G43">
        <v>3.0000000000000001E-3</v>
      </c>
    </row>
    <row r="44" spans="1:8" x14ac:dyDescent="0.25">
      <c r="A44" t="s">
        <v>50</v>
      </c>
      <c r="B44">
        <v>8</v>
      </c>
      <c r="C44">
        <v>0.81200000000000006</v>
      </c>
      <c r="D44">
        <v>0.81399999999999995</v>
      </c>
      <c r="E44">
        <v>0.81399999999999995</v>
      </c>
      <c r="F44">
        <v>0.80900000000000005</v>
      </c>
      <c r="G44">
        <v>2E-3</v>
      </c>
    </row>
    <row r="45" spans="1:8" x14ac:dyDescent="0.25">
      <c r="A45" t="s">
        <v>51</v>
      </c>
      <c r="B45">
        <v>8</v>
      </c>
      <c r="C45">
        <v>1.093</v>
      </c>
      <c r="D45">
        <v>1.117</v>
      </c>
      <c r="E45">
        <v>1.117</v>
      </c>
      <c r="F45">
        <v>1.0880000000000001</v>
      </c>
      <c r="G45">
        <v>0.01</v>
      </c>
    </row>
    <row r="46" spans="1:8" x14ac:dyDescent="0.25">
      <c r="A46" t="s">
        <v>52</v>
      </c>
      <c r="B46">
        <v>8</v>
      </c>
      <c r="C46">
        <v>1.7450000000000001</v>
      </c>
      <c r="D46">
        <v>1.7390000000000001</v>
      </c>
      <c r="E46">
        <v>1.7669999999999999</v>
      </c>
      <c r="F46">
        <v>1.7130000000000001</v>
      </c>
      <c r="G46">
        <v>0.02</v>
      </c>
    </row>
    <row r="47" spans="1:8" x14ac:dyDescent="0.25">
      <c r="A47" t="s">
        <v>53</v>
      </c>
      <c r="B47">
        <v>8</v>
      </c>
      <c r="C47">
        <v>1.0229999999999999</v>
      </c>
      <c r="D47">
        <v>1.02</v>
      </c>
      <c r="E47">
        <v>1.038</v>
      </c>
      <c r="F47">
        <v>1.016</v>
      </c>
      <c r="G47">
        <v>8.9999999999999993E-3</v>
      </c>
    </row>
    <row r="48" spans="1:8" x14ac:dyDescent="0.25">
      <c r="A48" t="s">
        <v>54</v>
      </c>
      <c r="B48">
        <v>8</v>
      </c>
      <c r="C48">
        <v>0.86799999999999999</v>
      </c>
      <c r="D48">
        <v>0.85299999999999998</v>
      </c>
      <c r="E48">
        <v>0.88300000000000001</v>
      </c>
      <c r="F48">
        <v>0.85299999999999998</v>
      </c>
      <c r="G48">
        <v>0.01</v>
      </c>
    </row>
    <row r="49" spans="1:7" x14ac:dyDescent="0.25">
      <c r="A49" t="s">
        <v>55</v>
      </c>
      <c r="B49">
        <v>8</v>
      </c>
      <c r="C49">
        <v>1.099</v>
      </c>
      <c r="D49">
        <v>1.1120000000000001</v>
      </c>
      <c r="E49">
        <v>1.1120000000000001</v>
      </c>
      <c r="F49">
        <v>1.095</v>
      </c>
      <c r="G49">
        <v>6.0000000000000001E-3</v>
      </c>
    </row>
    <row r="50" spans="1:7" x14ac:dyDescent="0.25">
      <c r="A50" t="s">
        <v>56</v>
      </c>
      <c r="B50">
        <v>8</v>
      </c>
      <c r="C50">
        <v>0.88700000000000001</v>
      </c>
      <c r="D50">
        <v>0.89200000000000002</v>
      </c>
      <c r="E50">
        <v>0.89200000000000002</v>
      </c>
      <c r="F50">
        <v>0.88500000000000001</v>
      </c>
      <c r="G50">
        <v>3.0000000000000001E-3</v>
      </c>
    </row>
    <row r="51" spans="1:7" x14ac:dyDescent="0.25">
      <c r="A51" t="s">
        <v>57</v>
      </c>
      <c r="B51">
        <v>8</v>
      </c>
      <c r="C51">
        <v>0.61599999999999999</v>
      </c>
      <c r="D51">
        <v>0.61699999999999999</v>
      </c>
      <c r="E51">
        <v>0.62</v>
      </c>
      <c r="F51">
        <v>0.61499999999999999</v>
      </c>
      <c r="G51">
        <v>2E-3</v>
      </c>
    </row>
    <row r="52" spans="1:7" x14ac:dyDescent="0.25">
      <c r="A52" t="s">
        <v>58</v>
      </c>
      <c r="B52">
        <v>8</v>
      </c>
      <c r="C52">
        <v>0.98399999999999999</v>
      </c>
      <c r="D52">
        <v>0.98399999999999999</v>
      </c>
      <c r="E52">
        <v>0.99399999999999999</v>
      </c>
      <c r="F52">
        <v>0.97799999999999998</v>
      </c>
      <c r="G52">
        <v>6.0000000000000001E-3</v>
      </c>
    </row>
    <row r="53" spans="1:7" x14ac:dyDescent="0.25">
      <c r="A53" t="s">
        <v>59</v>
      </c>
      <c r="B53">
        <v>8</v>
      </c>
      <c r="C53">
        <v>0.61499999999999999</v>
      </c>
      <c r="D53">
        <v>0.61499999999999999</v>
      </c>
      <c r="E53">
        <v>0.61699999999999999</v>
      </c>
      <c r="F53">
        <v>0.61299999999999999</v>
      </c>
      <c r="G53">
        <v>1E-3</v>
      </c>
    </row>
    <row r="54" spans="1:7" x14ac:dyDescent="0.25">
      <c r="A54" t="s">
        <v>60</v>
      </c>
      <c r="B54">
        <v>8</v>
      </c>
      <c r="C54">
        <v>7.6999999999999999E-2</v>
      </c>
      <c r="D54">
        <v>7.6999999999999999E-2</v>
      </c>
      <c r="E54">
        <v>7.8E-2</v>
      </c>
      <c r="F54">
        <v>7.6999999999999999E-2</v>
      </c>
      <c r="G54">
        <v>0</v>
      </c>
    </row>
    <row r="55" spans="1:7" x14ac:dyDescent="0.25">
      <c r="A55" t="s">
        <v>61</v>
      </c>
      <c r="B55">
        <v>8</v>
      </c>
      <c r="C55">
        <v>7.6999999999999999E-2</v>
      </c>
      <c r="D55">
        <v>7.6999999999999999E-2</v>
      </c>
      <c r="E55">
        <v>7.8E-2</v>
      </c>
      <c r="F55">
        <v>7.6999999999999999E-2</v>
      </c>
      <c r="G55">
        <v>1E-3</v>
      </c>
    </row>
    <row r="56" spans="1:7" x14ac:dyDescent="0.25">
      <c r="A56" t="s">
        <v>62</v>
      </c>
      <c r="B56">
        <v>8</v>
      </c>
      <c r="C56">
        <v>0.14399999999999999</v>
      </c>
      <c r="D56">
        <v>0.14799999999999999</v>
      </c>
      <c r="E56">
        <v>0.14799999999999999</v>
      </c>
      <c r="F56">
        <v>0.14299999999999999</v>
      </c>
      <c r="G56">
        <v>2E-3</v>
      </c>
    </row>
    <row r="57" spans="1:7" x14ac:dyDescent="0.25">
      <c r="A57" t="s">
        <v>63</v>
      </c>
      <c r="B57">
        <v>8</v>
      </c>
      <c r="C57">
        <v>0.157</v>
      </c>
      <c r="D57">
        <v>0.157</v>
      </c>
      <c r="E57">
        <v>0.158</v>
      </c>
      <c r="F57">
        <v>0.154</v>
      </c>
      <c r="G57">
        <v>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H5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1" max="1" width="39" bestFit="1" customWidth="1"/>
    <col min="2" max="2" width="3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8" x14ac:dyDescent="0.25">
      <c r="A2" t="s">
        <v>7</v>
      </c>
      <c r="B2">
        <v>8</v>
      </c>
      <c r="C2">
        <v>4.7E-2</v>
      </c>
      <c r="D2">
        <v>7.9000000000000001E-2</v>
      </c>
      <c r="E2">
        <v>7.9000000000000001E-2</v>
      </c>
      <c r="F2">
        <v>4.2000000000000003E-2</v>
      </c>
      <c r="G2">
        <v>1.2999999999999999E-2</v>
      </c>
      <c r="H2" t="s">
        <v>8</v>
      </c>
    </row>
    <row r="3" spans="1:8" x14ac:dyDescent="0.25">
      <c r="A3" t="s">
        <v>9</v>
      </c>
      <c r="B3">
        <v>8</v>
      </c>
      <c r="C3">
        <v>2.1999999999999999E-2</v>
      </c>
      <c r="D3">
        <v>3.3000000000000002E-2</v>
      </c>
      <c r="E3">
        <v>3.3000000000000002E-2</v>
      </c>
      <c r="F3">
        <v>1.9E-2</v>
      </c>
      <c r="G3">
        <v>5.0000000000000001E-3</v>
      </c>
    </row>
    <row r="4" spans="1:8" x14ac:dyDescent="0.25">
      <c r="A4" t="s">
        <v>10</v>
      </c>
      <c r="B4">
        <v>8</v>
      </c>
      <c r="C4">
        <v>0.02</v>
      </c>
      <c r="D4">
        <v>2.1000000000000001E-2</v>
      </c>
      <c r="E4">
        <v>2.1000000000000001E-2</v>
      </c>
      <c r="F4">
        <v>0.02</v>
      </c>
      <c r="G4">
        <v>0</v>
      </c>
    </row>
    <row r="5" spans="1:8" x14ac:dyDescent="0.25">
      <c r="A5" t="s">
        <v>11</v>
      </c>
      <c r="B5">
        <v>3</v>
      </c>
      <c r="C5">
        <v>0.16400000000000001</v>
      </c>
      <c r="D5">
        <v>0.16600000000000001</v>
      </c>
      <c r="E5">
        <v>0.16600000000000001</v>
      </c>
      <c r="F5">
        <v>0.16200000000000001</v>
      </c>
      <c r="G5">
        <v>2E-3</v>
      </c>
    </row>
    <row r="6" spans="1:8" x14ac:dyDescent="0.25">
      <c r="A6" t="s">
        <v>12</v>
      </c>
      <c r="B6">
        <v>3</v>
      </c>
      <c r="C6">
        <v>0.46700000000000003</v>
      </c>
      <c r="D6">
        <v>0.45800000000000002</v>
      </c>
      <c r="E6">
        <v>0.48799999999999999</v>
      </c>
      <c r="F6">
        <v>0.45400000000000001</v>
      </c>
      <c r="G6">
        <v>1.9E-2</v>
      </c>
    </row>
    <row r="7" spans="1:8" x14ac:dyDescent="0.25">
      <c r="A7" t="s">
        <v>13</v>
      </c>
      <c r="B7">
        <v>3</v>
      </c>
      <c r="C7">
        <v>0.28799999999999998</v>
      </c>
      <c r="D7">
        <v>0.28999999999999998</v>
      </c>
      <c r="E7">
        <v>0.28999999999999998</v>
      </c>
      <c r="F7">
        <v>0.28599999999999998</v>
      </c>
      <c r="G7">
        <v>2E-3</v>
      </c>
    </row>
    <row r="8" spans="1:8" x14ac:dyDescent="0.25">
      <c r="A8" t="s">
        <v>14</v>
      </c>
      <c r="B8">
        <v>3</v>
      </c>
      <c r="C8">
        <v>0.29099999999999998</v>
      </c>
      <c r="D8">
        <v>0.29499999999999998</v>
      </c>
      <c r="E8">
        <v>0.29499999999999998</v>
      </c>
      <c r="F8">
        <v>0.28899999999999998</v>
      </c>
      <c r="G8">
        <v>3.0000000000000001E-3</v>
      </c>
    </row>
    <row r="9" spans="1:8" x14ac:dyDescent="0.25">
      <c r="A9" t="s">
        <v>15</v>
      </c>
      <c r="B9">
        <v>5</v>
      </c>
      <c r="C9">
        <v>1.2410000000000001</v>
      </c>
      <c r="D9">
        <v>1.242</v>
      </c>
      <c r="E9">
        <v>1.2609999999999999</v>
      </c>
      <c r="F9">
        <v>1.2190000000000001</v>
      </c>
      <c r="G9">
        <v>1.6E-2</v>
      </c>
    </row>
    <row r="10" spans="1:8" x14ac:dyDescent="0.25">
      <c r="A10" t="s">
        <v>16</v>
      </c>
      <c r="B10">
        <v>5</v>
      </c>
      <c r="C10">
        <v>0.313</v>
      </c>
      <c r="D10">
        <v>0.313</v>
      </c>
      <c r="E10">
        <v>0.32100000000000001</v>
      </c>
      <c r="F10">
        <v>0.308</v>
      </c>
      <c r="G10">
        <v>5.0000000000000001E-3</v>
      </c>
    </row>
    <row r="11" spans="1:8" x14ac:dyDescent="0.25">
      <c r="A11" t="s">
        <v>17</v>
      </c>
      <c r="B11">
        <v>5</v>
      </c>
      <c r="C11">
        <v>0.65</v>
      </c>
      <c r="D11">
        <v>0.65300000000000002</v>
      </c>
      <c r="E11">
        <v>0.67700000000000005</v>
      </c>
      <c r="F11">
        <v>0.63300000000000001</v>
      </c>
      <c r="G11">
        <v>1.7000000000000001E-2</v>
      </c>
    </row>
    <row r="12" spans="1:8" x14ac:dyDescent="0.25">
      <c r="A12" t="s">
        <v>18</v>
      </c>
      <c r="B12">
        <v>6</v>
      </c>
      <c r="C12">
        <v>7.0000000000000001E-3</v>
      </c>
      <c r="D12">
        <v>7.0000000000000001E-3</v>
      </c>
      <c r="E12">
        <v>7.0000000000000001E-3</v>
      </c>
      <c r="F12">
        <v>7.0000000000000001E-3</v>
      </c>
      <c r="G12">
        <v>0</v>
      </c>
    </row>
    <row r="13" spans="1:8" x14ac:dyDescent="0.25">
      <c r="A13" t="s">
        <v>19</v>
      </c>
      <c r="B13">
        <v>6</v>
      </c>
      <c r="C13">
        <v>0.13600000000000001</v>
      </c>
      <c r="D13">
        <v>0.13700000000000001</v>
      </c>
      <c r="E13">
        <v>0.13700000000000001</v>
      </c>
      <c r="F13">
        <v>0.13600000000000001</v>
      </c>
      <c r="G13">
        <v>1E-3</v>
      </c>
    </row>
    <row r="14" spans="1:8" x14ac:dyDescent="0.25">
      <c r="A14" t="s">
        <v>20</v>
      </c>
      <c r="B14">
        <v>6</v>
      </c>
      <c r="C14">
        <v>3.3000000000000002E-2</v>
      </c>
      <c r="D14">
        <v>3.4000000000000002E-2</v>
      </c>
      <c r="E14">
        <v>3.4000000000000002E-2</v>
      </c>
      <c r="F14">
        <v>3.3000000000000002E-2</v>
      </c>
      <c r="G14">
        <v>0</v>
      </c>
    </row>
    <row r="15" spans="1:8" x14ac:dyDescent="0.25">
      <c r="A15" t="s">
        <v>21</v>
      </c>
      <c r="B15">
        <v>6</v>
      </c>
      <c r="C15">
        <v>3.9E-2</v>
      </c>
      <c r="D15">
        <v>0.04</v>
      </c>
      <c r="E15">
        <v>0.04</v>
      </c>
      <c r="F15">
        <v>3.7999999999999999E-2</v>
      </c>
      <c r="G15">
        <v>1E-3</v>
      </c>
    </row>
    <row r="16" spans="1:8" x14ac:dyDescent="0.25">
      <c r="A16" t="s">
        <v>22</v>
      </c>
      <c r="B16">
        <v>5</v>
      </c>
      <c r="C16">
        <v>0.56100000000000005</v>
      </c>
      <c r="D16">
        <v>0.56299999999999994</v>
      </c>
      <c r="E16">
        <v>0.56299999999999994</v>
      </c>
      <c r="F16">
        <v>0.56100000000000005</v>
      </c>
      <c r="G16">
        <v>1E-3</v>
      </c>
    </row>
    <row r="17" spans="1:7" x14ac:dyDescent="0.25">
      <c r="A17" t="s">
        <v>23</v>
      </c>
      <c r="B17">
        <v>5</v>
      </c>
      <c r="C17">
        <v>0.113</v>
      </c>
      <c r="D17">
        <v>0.114</v>
      </c>
      <c r="E17">
        <v>0.114</v>
      </c>
      <c r="F17">
        <v>0.113</v>
      </c>
      <c r="G17">
        <v>0</v>
      </c>
    </row>
    <row r="18" spans="1:7" x14ac:dyDescent="0.25">
      <c r="A18" t="s">
        <v>24</v>
      </c>
      <c r="B18">
        <v>5</v>
      </c>
      <c r="C18">
        <v>5.0999999999999997E-2</v>
      </c>
      <c r="D18">
        <v>5.0999999999999997E-2</v>
      </c>
      <c r="E18">
        <v>5.1999999999999998E-2</v>
      </c>
      <c r="F18">
        <v>5.0999999999999997E-2</v>
      </c>
      <c r="G18">
        <v>0</v>
      </c>
    </row>
    <row r="19" spans="1:7" x14ac:dyDescent="0.25">
      <c r="A19" t="s">
        <v>25</v>
      </c>
      <c r="B19">
        <v>5</v>
      </c>
      <c r="C19">
        <v>0.19500000000000001</v>
      </c>
      <c r="D19">
        <v>0.19500000000000001</v>
      </c>
      <c r="E19">
        <v>0.19800000000000001</v>
      </c>
      <c r="F19">
        <v>0.19400000000000001</v>
      </c>
      <c r="G19">
        <v>2E-3</v>
      </c>
    </row>
    <row r="20" spans="1:7" x14ac:dyDescent="0.25">
      <c r="A20" t="s">
        <v>26</v>
      </c>
      <c r="B20">
        <v>5</v>
      </c>
      <c r="C20">
        <v>2.4E-2</v>
      </c>
      <c r="D20">
        <v>2.5000000000000001E-2</v>
      </c>
      <c r="E20">
        <v>2.5000000000000001E-2</v>
      </c>
      <c r="F20">
        <v>2.4E-2</v>
      </c>
      <c r="G20">
        <v>0</v>
      </c>
    </row>
    <row r="21" spans="1:7" x14ac:dyDescent="0.25">
      <c r="A21" t="s">
        <v>27</v>
      </c>
      <c r="B21">
        <v>5</v>
      </c>
      <c r="C21">
        <v>2.5000000000000001E-2</v>
      </c>
      <c r="D21">
        <v>2.5999999999999999E-2</v>
      </c>
      <c r="E21">
        <v>2.5999999999999999E-2</v>
      </c>
      <c r="F21">
        <v>2.5000000000000001E-2</v>
      </c>
      <c r="G21">
        <v>0</v>
      </c>
    </row>
    <row r="22" spans="1:7" x14ac:dyDescent="0.25">
      <c r="A22" t="s">
        <v>28</v>
      </c>
      <c r="B22">
        <v>8</v>
      </c>
      <c r="C22">
        <v>0.20699999999999999</v>
      </c>
      <c r="D22">
        <v>0.20899999999999999</v>
      </c>
      <c r="E22">
        <v>0.20899999999999999</v>
      </c>
      <c r="F22">
        <v>0.20599999999999999</v>
      </c>
      <c r="G22">
        <v>1E-3</v>
      </c>
    </row>
    <row r="23" spans="1:7" x14ac:dyDescent="0.25">
      <c r="A23" t="s">
        <v>29</v>
      </c>
      <c r="B23">
        <v>8</v>
      </c>
      <c r="C23">
        <v>0.156</v>
      </c>
      <c r="D23">
        <v>0.157</v>
      </c>
      <c r="E23">
        <v>0.157</v>
      </c>
      <c r="F23">
        <v>0.154</v>
      </c>
      <c r="G23">
        <v>1E-3</v>
      </c>
    </row>
    <row r="24" spans="1:7" x14ac:dyDescent="0.25">
      <c r="A24" t="s">
        <v>30</v>
      </c>
      <c r="B24">
        <v>8</v>
      </c>
      <c r="C24">
        <v>0.158</v>
      </c>
      <c r="D24">
        <v>0.17299999999999999</v>
      </c>
      <c r="E24">
        <v>0.17299999999999999</v>
      </c>
      <c r="F24">
        <v>0.154</v>
      </c>
      <c r="G24">
        <v>7.0000000000000001E-3</v>
      </c>
    </row>
    <row r="25" spans="1:7" x14ac:dyDescent="0.25">
      <c r="A25" t="s">
        <v>31</v>
      </c>
      <c r="B25">
        <v>8</v>
      </c>
      <c r="C25">
        <v>0.67300000000000004</v>
      </c>
      <c r="D25">
        <v>0.67300000000000004</v>
      </c>
      <c r="E25">
        <v>0.67700000000000005</v>
      </c>
      <c r="F25">
        <v>0.67200000000000004</v>
      </c>
      <c r="G25">
        <v>2E-3</v>
      </c>
    </row>
    <row r="26" spans="1:7" x14ac:dyDescent="0.25">
      <c r="A26" t="s">
        <v>32</v>
      </c>
      <c r="B26">
        <v>8</v>
      </c>
      <c r="C26">
        <v>0.156</v>
      </c>
      <c r="D26">
        <v>0.157</v>
      </c>
      <c r="E26">
        <v>0.158</v>
      </c>
      <c r="F26">
        <v>0.154</v>
      </c>
      <c r="G26">
        <v>1E-3</v>
      </c>
    </row>
    <row r="27" spans="1:7" x14ac:dyDescent="0.25">
      <c r="A27" t="s">
        <v>33</v>
      </c>
      <c r="B27">
        <v>5</v>
      </c>
      <c r="C27">
        <v>1E-3</v>
      </c>
      <c r="D27">
        <v>3.0000000000000001E-3</v>
      </c>
      <c r="E27">
        <v>3.0000000000000001E-3</v>
      </c>
      <c r="F27">
        <v>1E-3</v>
      </c>
      <c r="G27">
        <v>1E-3</v>
      </c>
    </row>
    <row r="28" spans="1:7" x14ac:dyDescent="0.25">
      <c r="A28" t="s">
        <v>34</v>
      </c>
      <c r="B28">
        <v>5</v>
      </c>
      <c r="C28">
        <v>3.6999999999999998E-2</v>
      </c>
      <c r="D28">
        <v>3.9E-2</v>
      </c>
      <c r="E28">
        <v>3.9E-2</v>
      </c>
      <c r="F28">
        <v>3.6999999999999998E-2</v>
      </c>
      <c r="G28">
        <v>1E-3</v>
      </c>
    </row>
    <row r="29" spans="1:7" x14ac:dyDescent="0.25">
      <c r="A29" t="s">
        <v>35</v>
      </c>
      <c r="B29">
        <v>20</v>
      </c>
      <c r="C29">
        <v>3.5000000000000003E-2</v>
      </c>
      <c r="D29">
        <v>3.5000000000000003E-2</v>
      </c>
      <c r="E29">
        <v>3.5000000000000003E-2</v>
      </c>
      <c r="F29">
        <v>3.5000000000000003E-2</v>
      </c>
      <c r="G29">
        <v>0</v>
      </c>
    </row>
    <row r="30" spans="1:7" x14ac:dyDescent="0.25">
      <c r="A30" t="s">
        <v>36</v>
      </c>
      <c r="B30">
        <v>20</v>
      </c>
      <c r="C30">
        <v>2.5999999999999999E-2</v>
      </c>
      <c r="D30">
        <v>2.5000000000000001E-2</v>
      </c>
      <c r="E30">
        <v>2.7E-2</v>
      </c>
      <c r="F30">
        <v>2.4E-2</v>
      </c>
      <c r="G30">
        <v>1E-3</v>
      </c>
    </row>
    <row r="31" spans="1:7" x14ac:dyDescent="0.25">
      <c r="A31" t="s">
        <v>37</v>
      </c>
      <c r="B31">
        <v>20</v>
      </c>
      <c r="C31">
        <v>1E-3</v>
      </c>
      <c r="D31">
        <v>1E-3</v>
      </c>
      <c r="E31">
        <v>1E-3</v>
      </c>
      <c r="F31">
        <v>1E-3</v>
      </c>
      <c r="G31">
        <v>0</v>
      </c>
    </row>
    <row r="32" spans="1:7" x14ac:dyDescent="0.25">
      <c r="A32" t="s">
        <v>38</v>
      </c>
      <c r="B32">
        <v>20</v>
      </c>
      <c r="C32">
        <v>2.3E-2</v>
      </c>
      <c r="D32">
        <v>2.3E-2</v>
      </c>
      <c r="E32">
        <v>2.3E-2</v>
      </c>
      <c r="F32">
        <v>2.3E-2</v>
      </c>
      <c r="G32">
        <v>0</v>
      </c>
    </row>
    <row r="33" spans="1:8" x14ac:dyDescent="0.25">
      <c r="A33" t="s">
        <v>39</v>
      </c>
      <c r="B33">
        <v>5</v>
      </c>
      <c r="C33">
        <v>0.97499999999999998</v>
      </c>
      <c r="D33">
        <v>0.98099999999999998</v>
      </c>
      <c r="E33">
        <v>0.98399999999999999</v>
      </c>
      <c r="F33">
        <v>0.96599999999999997</v>
      </c>
      <c r="G33">
        <v>7.0000000000000001E-3</v>
      </c>
    </row>
    <row r="34" spans="1:8" x14ac:dyDescent="0.25">
      <c r="A34" t="s">
        <v>40</v>
      </c>
      <c r="B34">
        <v>5</v>
      </c>
      <c r="C34">
        <v>3.8959999999999999</v>
      </c>
      <c r="D34">
        <v>3.8959999999999999</v>
      </c>
      <c r="E34">
        <v>3.8980000000000001</v>
      </c>
      <c r="F34">
        <v>3.8940000000000001</v>
      </c>
      <c r="G34">
        <v>2E-3</v>
      </c>
      <c r="H34" s="1"/>
    </row>
    <row r="35" spans="1:8" x14ac:dyDescent="0.25">
      <c r="A35" t="s">
        <v>41</v>
      </c>
      <c r="B35">
        <v>5</v>
      </c>
      <c r="C35">
        <v>0.73199999999999998</v>
      </c>
      <c r="D35">
        <v>0.73299999999999998</v>
      </c>
      <c r="E35">
        <v>0.73299999999999998</v>
      </c>
      <c r="F35">
        <v>0.73099999999999998</v>
      </c>
      <c r="G35">
        <v>1E-3</v>
      </c>
    </row>
    <row r="36" spans="1:8" x14ac:dyDescent="0.25">
      <c r="A36" t="s">
        <v>42</v>
      </c>
      <c r="B36">
        <v>5</v>
      </c>
      <c r="C36">
        <v>3.6850000000000001</v>
      </c>
      <c r="D36">
        <v>3.6859999999999999</v>
      </c>
      <c r="E36">
        <v>3.69</v>
      </c>
      <c r="F36">
        <v>3.68</v>
      </c>
      <c r="G36">
        <v>4.0000000000000001E-3</v>
      </c>
    </row>
    <row r="37" spans="1:8" x14ac:dyDescent="0.25">
      <c r="A37" t="s">
        <v>43</v>
      </c>
      <c r="B37">
        <v>5</v>
      </c>
      <c r="C37">
        <v>0.81100000000000005</v>
      </c>
      <c r="D37">
        <v>0.80700000000000005</v>
      </c>
      <c r="E37">
        <v>0.81399999999999995</v>
      </c>
      <c r="F37">
        <v>0.80700000000000005</v>
      </c>
      <c r="G37">
        <v>3.0000000000000001E-3</v>
      </c>
    </row>
    <row r="38" spans="1:8" x14ac:dyDescent="0.25">
      <c r="A38" t="s">
        <v>44</v>
      </c>
      <c r="B38">
        <v>5</v>
      </c>
      <c r="C38">
        <v>0.82699999999999996</v>
      </c>
      <c r="D38">
        <v>0.83499999999999996</v>
      </c>
      <c r="E38">
        <v>0.83499999999999996</v>
      </c>
      <c r="F38">
        <v>0.82099999999999995</v>
      </c>
      <c r="G38">
        <v>5.0000000000000001E-3</v>
      </c>
    </row>
    <row r="39" spans="1:8" x14ac:dyDescent="0.25">
      <c r="A39" t="s">
        <v>45</v>
      </c>
      <c r="B39">
        <v>5</v>
      </c>
      <c r="C39">
        <v>0.65500000000000003</v>
      </c>
      <c r="D39">
        <v>0.65900000000000003</v>
      </c>
      <c r="E39">
        <v>0.65900000000000003</v>
      </c>
      <c r="F39">
        <v>0.65300000000000002</v>
      </c>
      <c r="G39">
        <v>2E-3</v>
      </c>
    </row>
    <row r="40" spans="1:8" x14ac:dyDescent="0.25">
      <c r="A40" t="s">
        <v>46</v>
      </c>
      <c r="B40">
        <v>5</v>
      </c>
      <c r="C40">
        <v>5.6929999999999996</v>
      </c>
      <c r="D40">
        <v>5.6929999999999996</v>
      </c>
      <c r="E40">
        <v>5.6980000000000004</v>
      </c>
      <c r="F40">
        <v>5.6890000000000001</v>
      </c>
      <c r="G40">
        <v>3.0000000000000001E-3</v>
      </c>
    </row>
    <row r="41" spans="1:8" x14ac:dyDescent="0.25">
      <c r="A41" t="s">
        <v>47</v>
      </c>
      <c r="B41">
        <v>5</v>
      </c>
      <c r="C41">
        <v>0.90600000000000003</v>
      </c>
      <c r="D41">
        <v>0.91</v>
      </c>
      <c r="E41">
        <v>0.91</v>
      </c>
      <c r="F41">
        <v>0.90400000000000003</v>
      </c>
      <c r="G41">
        <v>3.0000000000000001E-3</v>
      </c>
    </row>
    <row r="42" spans="1:8" x14ac:dyDescent="0.25">
      <c r="A42" t="s">
        <v>48</v>
      </c>
      <c r="B42">
        <v>8</v>
      </c>
      <c r="C42">
        <v>0.114</v>
      </c>
      <c r="D42">
        <v>0.13100000000000001</v>
      </c>
      <c r="E42">
        <v>0.13100000000000001</v>
      </c>
      <c r="F42">
        <v>0.111</v>
      </c>
      <c r="G42">
        <v>7.0000000000000001E-3</v>
      </c>
    </row>
    <row r="43" spans="1:8" x14ac:dyDescent="0.25">
      <c r="A43" t="s">
        <v>49</v>
      </c>
      <c r="B43">
        <v>8</v>
      </c>
      <c r="C43">
        <v>0.92500000000000004</v>
      </c>
      <c r="D43">
        <v>0.93</v>
      </c>
      <c r="E43">
        <v>0.93</v>
      </c>
      <c r="F43">
        <v>0.92300000000000004</v>
      </c>
      <c r="G43">
        <v>2E-3</v>
      </c>
    </row>
    <row r="44" spans="1:8" x14ac:dyDescent="0.25">
      <c r="A44" t="s">
        <v>50</v>
      </c>
      <c r="B44">
        <v>8</v>
      </c>
      <c r="C44">
        <v>0.81100000000000005</v>
      </c>
      <c r="D44">
        <v>0.81699999999999995</v>
      </c>
      <c r="E44">
        <v>0.81699999999999995</v>
      </c>
      <c r="F44">
        <v>0.80900000000000005</v>
      </c>
      <c r="G44">
        <v>3.0000000000000001E-3</v>
      </c>
    </row>
    <row r="45" spans="1:8" x14ac:dyDescent="0.25">
      <c r="A45" t="s">
        <v>51</v>
      </c>
      <c r="B45">
        <v>8</v>
      </c>
      <c r="C45">
        <v>1.141</v>
      </c>
      <c r="D45">
        <v>1.167</v>
      </c>
      <c r="E45">
        <v>1.167</v>
      </c>
      <c r="F45">
        <v>1.1339999999999999</v>
      </c>
      <c r="G45">
        <v>1.0999999999999999E-2</v>
      </c>
    </row>
    <row r="46" spans="1:8" x14ac:dyDescent="0.25">
      <c r="A46" t="s">
        <v>52</v>
      </c>
      <c r="B46">
        <v>8</v>
      </c>
      <c r="C46">
        <v>1.4990000000000001</v>
      </c>
      <c r="D46">
        <v>1.42</v>
      </c>
      <c r="E46">
        <v>1.5209999999999999</v>
      </c>
      <c r="F46">
        <v>1.42</v>
      </c>
      <c r="G46">
        <v>3.3000000000000002E-2</v>
      </c>
    </row>
    <row r="47" spans="1:8" x14ac:dyDescent="0.25">
      <c r="A47" t="s">
        <v>53</v>
      </c>
      <c r="B47">
        <v>8</v>
      </c>
      <c r="C47">
        <v>1.0209999999999999</v>
      </c>
      <c r="D47">
        <v>1.018</v>
      </c>
      <c r="E47">
        <v>1.0289999999999999</v>
      </c>
      <c r="F47">
        <v>1.016</v>
      </c>
      <c r="G47">
        <v>4.0000000000000001E-3</v>
      </c>
    </row>
    <row r="48" spans="1:8" x14ac:dyDescent="0.25">
      <c r="A48" t="s">
        <v>54</v>
      </c>
      <c r="B48">
        <v>8</v>
      </c>
      <c r="C48">
        <v>0.86499999999999999</v>
      </c>
      <c r="D48">
        <v>0.86699999999999999</v>
      </c>
      <c r="E48">
        <v>0.873</v>
      </c>
      <c r="F48">
        <v>0.85899999999999999</v>
      </c>
      <c r="G48">
        <v>5.0000000000000001E-3</v>
      </c>
    </row>
    <row r="49" spans="1:7" x14ac:dyDescent="0.25">
      <c r="A49" t="s">
        <v>55</v>
      </c>
      <c r="B49">
        <v>8</v>
      </c>
      <c r="C49">
        <v>1.099</v>
      </c>
      <c r="D49">
        <v>1.1160000000000001</v>
      </c>
      <c r="E49">
        <v>1.1160000000000001</v>
      </c>
      <c r="F49">
        <v>1.0940000000000001</v>
      </c>
      <c r="G49">
        <v>7.0000000000000001E-3</v>
      </c>
    </row>
    <row r="50" spans="1:7" x14ac:dyDescent="0.25">
      <c r="A50" t="s">
        <v>56</v>
      </c>
      <c r="B50">
        <v>8</v>
      </c>
      <c r="C50">
        <v>0.89800000000000002</v>
      </c>
      <c r="D50">
        <v>0.89900000000000002</v>
      </c>
      <c r="E50">
        <v>0.92100000000000004</v>
      </c>
      <c r="F50">
        <v>0.89200000000000002</v>
      </c>
      <c r="G50">
        <v>0.01</v>
      </c>
    </row>
    <row r="51" spans="1:7" x14ac:dyDescent="0.25">
      <c r="A51" t="s">
        <v>57</v>
      </c>
      <c r="B51">
        <v>8</v>
      </c>
      <c r="C51">
        <v>0.61199999999999999</v>
      </c>
      <c r="D51">
        <v>0.61499999999999999</v>
      </c>
      <c r="E51">
        <v>0.61499999999999999</v>
      </c>
      <c r="F51">
        <v>0.61</v>
      </c>
      <c r="G51">
        <v>2E-3</v>
      </c>
    </row>
    <row r="52" spans="1:7" x14ac:dyDescent="0.25">
      <c r="A52" t="s">
        <v>58</v>
      </c>
      <c r="B52">
        <v>8</v>
      </c>
      <c r="C52">
        <v>0.81699999999999995</v>
      </c>
      <c r="D52">
        <v>0.81799999999999995</v>
      </c>
      <c r="E52">
        <v>0.82</v>
      </c>
      <c r="F52">
        <v>0.81499999999999995</v>
      </c>
      <c r="G52">
        <v>2E-3</v>
      </c>
    </row>
    <row r="53" spans="1:7" x14ac:dyDescent="0.25">
      <c r="A53" t="s">
        <v>59</v>
      </c>
      <c r="B53">
        <v>8</v>
      </c>
      <c r="C53">
        <v>0.45100000000000001</v>
      </c>
      <c r="D53">
        <v>0.45200000000000001</v>
      </c>
      <c r="E53">
        <v>0.45300000000000001</v>
      </c>
      <c r="F53">
        <v>0.44900000000000001</v>
      </c>
      <c r="G53">
        <v>1E-3</v>
      </c>
    </row>
    <row r="54" spans="1:7" x14ac:dyDescent="0.25">
      <c r="A54" t="s">
        <v>60</v>
      </c>
      <c r="B54">
        <v>8</v>
      </c>
      <c r="C54">
        <v>7.6999999999999999E-2</v>
      </c>
      <c r="D54">
        <v>7.8E-2</v>
      </c>
      <c r="E54">
        <v>7.8E-2</v>
      </c>
      <c r="F54">
        <v>7.6999999999999999E-2</v>
      </c>
      <c r="G54">
        <v>0</v>
      </c>
    </row>
    <row r="55" spans="1:7" x14ac:dyDescent="0.25">
      <c r="A55" t="s">
        <v>61</v>
      </c>
      <c r="B55">
        <v>8</v>
      </c>
      <c r="C55">
        <v>8.6999999999999994E-2</v>
      </c>
      <c r="D55">
        <v>8.7999999999999995E-2</v>
      </c>
      <c r="E55">
        <v>8.7999999999999995E-2</v>
      </c>
      <c r="F55">
        <v>8.5000000000000006E-2</v>
      </c>
      <c r="G55">
        <v>1E-3</v>
      </c>
    </row>
    <row r="56" spans="1:7" x14ac:dyDescent="0.25">
      <c r="A56" t="s">
        <v>62</v>
      </c>
      <c r="B56">
        <v>8</v>
      </c>
      <c r="C56">
        <v>0.14599999999999999</v>
      </c>
      <c r="D56">
        <v>0.14899999999999999</v>
      </c>
      <c r="E56">
        <v>0.14899999999999999</v>
      </c>
      <c r="F56">
        <v>0.14499999999999999</v>
      </c>
      <c r="G56">
        <v>1E-3</v>
      </c>
    </row>
    <row r="57" spans="1:7" x14ac:dyDescent="0.25">
      <c r="A57" t="s">
        <v>63</v>
      </c>
      <c r="B57">
        <v>8</v>
      </c>
      <c r="C57">
        <v>0.157</v>
      </c>
      <c r="D57">
        <v>0.159</v>
      </c>
      <c r="E57">
        <v>0.159</v>
      </c>
      <c r="F57">
        <v>0.156</v>
      </c>
      <c r="G57">
        <v>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H5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1" max="1" width="39" bestFit="1" customWidth="1"/>
    <col min="2" max="2" width="3" bestFit="1" customWidth="1"/>
    <col min="10" max="10" width="32.71093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8" x14ac:dyDescent="0.25">
      <c r="A2" t="s">
        <v>7</v>
      </c>
      <c r="B2">
        <v>8</v>
      </c>
      <c r="C2">
        <v>4.9000000000000002E-2</v>
      </c>
      <c r="D2">
        <v>5.1999999999999998E-2</v>
      </c>
      <c r="E2">
        <v>5.1999999999999998E-2</v>
      </c>
      <c r="F2">
        <v>4.5999999999999999E-2</v>
      </c>
      <c r="G2">
        <v>2E-3</v>
      </c>
    </row>
    <row r="3" spans="1:8" x14ac:dyDescent="0.25">
      <c r="A3" t="s">
        <v>9</v>
      </c>
      <c r="B3">
        <v>8</v>
      </c>
      <c r="C3">
        <v>0.02</v>
      </c>
      <c r="D3">
        <v>0.02</v>
      </c>
      <c r="E3">
        <v>2.1000000000000001E-2</v>
      </c>
      <c r="F3">
        <v>0.02</v>
      </c>
      <c r="G3">
        <v>0</v>
      </c>
    </row>
    <row r="4" spans="1:8" x14ac:dyDescent="0.25">
      <c r="A4" t="s">
        <v>10</v>
      </c>
      <c r="B4">
        <v>8</v>
      </c>
      <c r="C4">
        <v>2.1000000000000001E-2</v>
      </c>
      <c r="D4">
        <v>2.1000000000000001E-2</v>
      </c>
      <c r="E4">
        <v>2.1999999999999999E-2</v>
      </c>
      <c r="F4">
        <v>2.1000000000000001E-2</v>
      </c>
      <c r="G4">
        <v>0</v>
      </c>
    </row>
    <row r="5" spans="1:8" x14ac:dyDescent="0.25">
      <c r="A5" t="s">
        <v>11</v>
      </c>
      <c r="B5">
        <v>3</v>
      </c>
      <c r="C5">
        <v>0.156</v>
      </c>
      <c r="D5">
        <v>0.158</v>
      </c>
      <c r="E5">
        <v>0.158</v>
      </c>
      <c r="F5">
        <v>0.154</v>
      </c>
      <c r="G5">
        <v>2E-3</v>
      </c>
    </row>
    <row r="6" spans="1:8" x14ac:dyDescent="0.25">
      <c r="A6" t="s">
        <v>12</v>
      </c>
      <c r="B6">
        <v>3</v>
      </c>
      <c r="C6">
        <v>0.47</v>
      </c>
      <c r="D6">
        <v>0.47099999999999997</v>
      </c>
      <c r="E6">
        <v>0.47099999999999997</v>
      </c>
      <c r="F6">
        <v>0.46899999999999997</v>
      </c>
      <c r="G6">
        <v>1E-3</v>
      </c>
    </row>
    <row r="7" spans="1:8" x14ac:dyDescent="0.25">
      <c r="A7" t="s">
        <v>13</v>
      </c>
      <c r="B7">
        <v>3</v>
      </c>
      <c r="C7">
        <v>0.26100000000000001</v>
      </c>
      <c r="D7">
        <v>0.26300000000000001</v>
      </c>
      <c r="E7">
        <v>0.26500000000000001</v>
      </c>
      <c r="F7">
        <v>0.25600000000000001</v>
      </c>
      <c r="G7">
        <v>5.0000000000000001E-3</v>
      </c>
    </row>
    <row r="8" spans="1:8" x14ac:dyDescent="0.25">
      <c r="A8" t="s">
        <v>14</v>
      </c>
      <c r="B8">
        <v>3</v>
      </c>
      <c r="C8">
        <v>0.25700000000000001</v>
      </c>
      <c r="D8">
        <v>0.254</v>
      </c>
      <c r="E8">
        <v>0.26</v>
      </c>
      <c r="F8">
        <v>0.254</v>
      </c>
      <c r="G8">
        <v>3.0000000000000001E-3</v>
      </c>
    </row>
    <row r="9" spans="1:8" x14ac:dyDescent="0.25">
      <c r="A9" t="s">
        <v>15</v>
      </c>
      <c r="B9">
        <v>5</v>
      </c>
      <c r="C9">
        <v>1.099</v>
      </c>
      <c r="D9">
        <v>1.097</v>
      </c>
      <c r="E9">
        <v>1.1140000000000001</v>
      </c>
      <c r="F9">
        <v>1.085</v>
      </c>
      <c r="G9">
        <v>1.0999999999999999E-2</v>
      </c>
    </row>
    <row r="10" spans="1:8" x14ac:dyDescent="0.25">
      <c r="A10" t="s">
        <v>16</v>
      </c>
      <c r="B10">
        <v>5</v>
      </c>
      <c r="C10">
        <v>0.30099999999999999</v>
      </c>
      <c r="D10">
        <v>0.29799999999999999</v>
      </c>
      <c r="E10">
        <v>0.309</v>
      </c>
      <c r="F10">
        <v>0.29299999999999998</v>
      </c>
      <c r="G10">
        <v>7.0000000000000001E-3</v>
      </c>
    </row>
    <row r="11" spans="1:8" x14ac:dyDescent="0.25">
      <c r="A11" t="s">
        <v>17</v>
      </c>
      <c r="B11">
        <v>5</v>
      </c>
      <c r="C11">
        <v>0.64400000000000002</v>
      </c>
      <c r="D11">
        <v>0.63600000000000001</v>
      </c>
      <c r="E11">
        <v>0.66100000000000003</v>
      </c>
      <c r="F11">
        <v>0.622</v>
      </c>
      <c r="G11">
        <v>1.6E-2</v>
      </c>
    </row>
    <row r="12" spans="1:8" x14ac:dyDescent="0.25">
      <c r="A12" t="s">
        <v>18</v>
      </c>
      <c r="B12">
        <v>6</v>
      </c>
      <c r="C12">
        <v>7.0000000000000001E-3</v>
      </c>
      <c r="D12">
        <v>7.0000000000000001E-3</v>
      </c>
      <c r="E12">
        <v>7.0000000000000001E-3</v>
      </c>
      <c r="F12">
        <v>7.0000000000000001E-3</v>
      </c>
      <c r="G12">
        <v>0</v>
      </c>
    </row>
    <row r="13" spans="1:8" x14ac:dyDescent="0.25">
      <c r="A13" t="s">
        <v>19</v>
      </c>
      <c r="B13">
        <v>6</v>
      </c>
      <c r="C13">
        <v>0.11899999999999999</v>
      </c>
      <c r="D13">
        <v>0.121</v>
      </c>
      <c r="E13">
        <v>0.121</v>
      </c>
      <c r="F13">
        <v>0.11899999999999999</v>
      </c>
      <c r="G13">
        <v>1E-3</v>
      </c>
    </row>
    <row r="14" spans="1:8" x14ac:dyDescent="0.25">
      <c r="A14" t="s">
        <v>20</v>
      </c>
      <c r="B14">
        <v>6</v>
      </c>
      <c r="C14">
        <v>3.4000000000000002E-2</v>
      </c>
      <c r="D14">
        <v>3.4000000000000002E-2</v>
      </c>
      <c r="E14">
        <v>3.4000000000000002E-2</v>
      </c>
      <c r="F14">
        <v>3.4000000000000002E-2</v>
      </c>
      <c r="G14">
        <v>0</v>
      </c>
      <c r="H14" s="1"/>
    </row>
    <row r="15" spans="1:8" x14ac:dyDescent="0.25">
      <c r="A15" t="s">
        <v>21</v>
      </c>
      <c r="B15">
        <v>6</v>
      </c>
      <c r="C15">
        <v>3.4000000000000002E-2</v>
      </c>
      <c r="D15">
        <v>3.4000000000000002E-2</v>
      </c>
      <c r="E15">
        <v>3.4000000000000002E-2</v>
      </c>
      <c r="F15">
        <v>3.4000000000000002E-2</v>
      </c>
      <c r="G15">
        <v>0</v>
      </c>
    </row>
    <row r="16" spans="1:8" x14ac:dyDescent="0.25">
      <c r="A16" t="s">
        <v>22</v>
      </c>
      <c r="B16">
        <v>5</v>
      </c>
      <c r="C16">
        <v>0.13400000000000001</v>
      </c>
      <c r="D16">
        <v>0.13500000000000001</v>
      </c>
      <c r="E16">
        <v>0.13500000000000001</v>
      </c>
      <c r="F16">
        <v>0.13400000000000001</v>
      </c>
      <c r="G16">
        <v>0</v>
      </c>
    </row>
    <row r="17" spans="1:7" x14ac:dyDescent="0.25">
      <c r="A17" t="s">
        <v>23</v>
      </c>
      <c r="B17">
        <v>5</v>
      </c>
      <c r="C17">
        <v>8.3000000000000004E-2</v>
      </c>
      <c r="D17">
        <v>8.4000000000000005E-2</v>
      </c>
      <c r="E17">
        <v>8.4000000000000005E-2</v>
      </c>
      <c r="F17">
        <v>8.3000000000000004E-2</v>
      </c>
      <c r="G17">
        <v>0</v>
      </c>
    </row>
    <row r="18" spans="1:7" x14ac:dyDescent="0.25">
      <c r="A18" t="s">
        <v>24</v>
      </c>
      <c r="B18">
        <v>5</v>
      </c>
      <c r="C18">
        <v>5.6000000000000001E-2</v>
      </c>
      <c r="D18">
        <v>5.7000000000000002E-2</v>
      </c>
      <c r="E18">
        <v>5.7000000000000002E-2</v>
      </c>
      <c r="F18">
        <v>5.6000000000000001E-2</v>
      </c>
      <c r="G18">
        <v>0</v>
      </c>
    </row>
    <row r="19" spans="1:7" x14ac:dyDescent="0.25">
      <c r="A19" t="s">
        <v>25</v>
      </c>
      <c r="B19">
        <v>5</v>
      </c>
      <c r="C19">
        <v>0.155</v>
      </c>
      <c r="D19">
        <v>0.156</v>
      </c>
      <c r="E19">
        <v>0.156</v>
      </c>
      <c r="F19">
        <v>0.155</v>
      </c>
      <c r="G19">
        <v>0</v>
      </c>
    </row>
    <row r="20" spans="1:7" x14ac:dyDescent="0.25">
      <c r="A20" t="s">
        <v>26</v>
      </c>
      <c r="B20">
        <v>5</v>
      </c>
      <c r="C20">
        <v>2.9000000000000001E-2</v>
      </c>
      <c r="D20">
        <v>2.9000000000000001E-2</v>
      </c>
      <c r="E20">
        <v>0.03</v>
      </c>
      <c r="F20">
        <v>2.9000000000000001E-2</v>
      </c>
      <c r="G20">
        <v>0</v>
      </c>
    </row>
    <row r="21" spans="1:7" x14ac:dyDescent="0.25">
      <c r="A21" t="s">
        <v>27</v>
      </c>
      <c r="B21">
        <v>5</v>
      </c>
      <c r="C21">
        <v>2.5999999999999999E-2</v>
      </c>
      <c r="D21">
        <v>2.5999999999999999E-2</v>
      </c>
      <c r="E21">
        <v>2.7E-2</v>
      </c>
      <c r="F21">
        <v>2.5999999999999999E-2</v>
      </c>
      <c r="G21">
        <v>1E-3</v>
      </c>
    </row>
    <row r="22" spans="1:7" x14ac:dyDescent="0.25">
      <c r="A22" t="s">
        <v>28</v>
      </c>
      <c r="B22">
        <v>8</v>
      </c>
      <c r="C22">
        <v>0.155</v>
      </c>
      <c r="D22">
        <v>0.154</v>
      </c>
      <c r="E22">
        <v>0.157</v>
      </c>
      <c r="F22">
        <v>0.154</v>
      </c>
      <c r="G22">
        <v>1E-3</v>
      </c>
    </row>
    <row r="23" spans="1:7" x14ac:dyDescent="0.25">
      <c r="A23" t="s">
        <v>29</v>
      </c>
      <c r="B23">
        <v>8</v>
      </c>
      <c r="C23">
        <v>0.121</v>
      </c>
      <c r="D23">
        <v>0.121</v>
      </c>
      <c r="E23">
        <v>0.122</v>
      </c>
      <c r="F23">
        <v>0.12</v>
      </c>
      <c r="G23">
        <v>1E-3</v>
      </c>
    </row>
    <row r="24" spans="1:7" x14ac:dyDescent="0.25">
      <c r="A24" t="s">
        <v>30</v>
      </c>
      <c r="B24">
        <v>8</v>
      </c>
      <c r="C24">
        <v>0.121</v>
      </c>
      <c r="D24">
        <v>0.122</v>
      </c>
      <c r="E24">
        <v>0.122</v>
      </c>
      <c r="F24">
        <v>0.12</v>
      </c>
      <c r="G24">
        <v>1E-3</v>
      </c>
    </row>
    <row r="25" spans="1:7" x14ac:dyDescent="0.25">
      <c r="A25" t="s">
        <v>31</v>
      </c>
      <c r="B25">
        <v>8</v>
      </c>
      <c r="C25">
        <v>1.0349999999999999</v>
      </c>
      <c r="D25">
        <v>1.04</v>
      </c>
      <c r="E25">
        <v>1.04</v>
      </c>
      <c r="F25">
        <v>1.032</v>
      </c>
      <c r="G25">
        <v>2E-3</v>
      </c>
    </row>
    <row r="26" spans="1:7" x14ac:dyDescent="0.25">
      <c r="A26" t="s">
        <v>32</v>
      </c>
      <c r="B26">
        <v>8</v>
      </c>
      <c r="C26">
        <v>9.1999999999999998E-2</v>
      </c>
      <c r="D26">
        <v>9.0999999999999998E-2</v>
      </c>
      <c r="E26">
        <v>9.1999999999999998E-2</v>
      </c>
      <c r="F26">
        <v>9.0999999999999998E-2</v>
      </c>
      <c r="G26">
        <v>1E-3</v>
      </c>
    </row>
    <row r="27" spans="1:7" x14ac:dyDescent="0.25">
      <c r="A27" t="s">
        <v>33</v>
      </c>
      <c r="B27">
        <v>5</v>
      </c>
      <c r="C27">
        <v>2E-3</v>
      </c>
      <c r="D27">
        <v>2E-3</v>
      </c>
      <c r="E27">
        <v>2E-3</v>
      </c>
      <c r="F27">
        <v>2E-3</v>
      </c>
      <c r="G27">
        <v>0</v>
      </c>
    </row>
    <row r="28" spans="1:7" x14ac:dyDescent="0.25">
      <c r="A28" t="s">
        <v>34</v>
      </c>
      <c r="B28">
        <v>5</v>
      </c>
      <c r="C28">
        <v>2.7E-2</v>
      </c>
      <c r="D28">
        <v>2.7E-2</v>
      </c>
      <c r="E28">
        <v>2.7E-2</v>
      </c>
      <c r="F28">
        <v>2.7E-2</v>
      </c>
      <c r="G28">
        <v>0</v>
      </c>
    </row>
    <row r="29" spans="1:7" x14ac:dyDescent="0.25">
      <c r="A29" t="s">
        <v>35</v>
      </c>
      <c r="B29">
        <v>20</v>
      </c>
      <c r="C29">
        <v>5.0999999999999997E-2</v>
      </c>
      <c r="D29">
        <v>5.0999999999999997E-2</v>
      </c>
      <c r="E29">
        <v>5.1999999999999998E-2</v>
      </c>
      <c r="F29">
        <v>5.0999999999999997E-2</v>
      </c>
      <c r="G29">
        <v>0</v>
      </c>
    </row>
    <row r="30" spans="1:7" x14ac:dyDescent="0.25">
      <c r="A30" t="s">
        <v>36</v>
      </c>
      <c r="B30">
        <v>20</v>
      </c>
      <c r="C30">
        <v>2.5000000000000001E-2</v>
      </c>
      <c r="D30">
        <v>2.5000000000000001E-2</v>
      </c>
      <c r="E30">
        <v>2.5999999999999999E-2</v>
      </c>
      <c r="F30">
        <v>2.5000000000000001E-2</v>
      </c>
      <c r="G30">
        <v>0</v>
      </c>
    </row>
    <row r="31" spans="1:7" x14ac:dyDescent="0.25">
      <c r="A31" t="s">
        <v>37</v>
      </c>
      <c r="B31">
        <v>20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 t="s">
        <v>38</v>
      </c>
      <c r="B32">
        <v>20</v>
      </c>
      <c r="C32">
        <v>2.5000000000000001E-2</v>
      </c>
      <c r="D32">
        <v>2.5000000000000001E-2</v>
      </c>
      <c r="E32">
        <v>2.5999999999999999E-2</v>
      </c>
      <c r="F32">
        <v>2.5000000000000001E-2</v>
      </c>
      <c r="G32">
        <v>0</v>
      </c>
    </row>
    <row r="33" spans="1:8" x14ac:dyDescent="0.25">
      <c r="A33" t="s">
        <v>39</v>
      </c>
      <c r="B33">
        <v>5</v>
      </c>
      <c r="C33">
        <v>0.85099999999999998</v>
      </c>
      <c r="D33">
        <v>0.84699999999999998</v>
      </c>
      <c r="E33">
        <v>0.85499999999999998</v>
      </c>
      <c r="F33">
        <v>0.84699999999999998</v>
      </c>
      <c r="G33">
        <v>4.0000000000000001E-3</v>
      </c>
    </row>
    <row r="34" spans="1:8" x14ac:dyDescent="0.25">
      <c r="A34" t="s">
        <v>40</v>
      </c>
      <c r="B34">
        <v>5</v>
      </c>
      <c r="C34">
        <v>0.77700000000000002</v>
      </c>
      <c r="D34">
        <v>0.77500000000000002</v>
      </c>
      <c r="E34">
        <v>0.78</v>
      </c>
      <c r="F34">
        <v>0.77500000000000002</v>
      </c>
      <c r="G34">
        <v>2E-3</v>
      </c>
      <c r="H34" s="1"/>
    </row>
    <row r="35" spans="1:8" x14ac:dyDescent="0.25">
      <c r="A35" t="s">
        <v>41</v>
      </c>
      <c r="B35">
        <v>5</v>
      </c>
      <c r="C35">
        <v>0.54700000000000004</v>
      </c>
      <c r="D35">
        <v>0.54500000000000004</v>
      </c>
      <c r="E35">
        <v>0.54800000000000004</v>
      </c>
      <c r="F35">
        <v>0.54500000000000004</v>
      </c>
      <c r="G35">
        <v>1E-3</v>
      </c>
    </row>
    <row r="36" spans="1:8" x14ac:dyDescent="0.25">
      <c r="A36" t="s">
        <v>42</v>
      </c>
      <c r="B36">
        <v>5</v>
      </c>
      <c r="C36">
        <v>0.96</v>
      </c>
      <c r="D36">
        <v>0.96</v>
      </c>
      <c r="E36">
        <v>0.96199999999999997</v>
      </c>
      <c r="F36">
        <v>0.95499999999999996</v>
      </c>
      <c r="G36">
        <v>3.0000000000000001E-3</v>
      </c>
    </row>
    <row r="37" spans="1:8" x14ac:dyDescent="0.25">
      <c r="A37" t="s">
        <v>43</v>
      </c>
      <c r="B37">
        <v>5</v>
      </c>
      <c r="C37">
        <v>0.80800000000000005</v>
      </c>
      <c r="D37">
        <v>0.80400000000000005</v>
      </c>
      <c r="E37">
        <v>0.81399999999999995</v>
      </c>
      <c r="F37">
        <v>0.80300000000000005</v>
      </c>
      <c r="G37">
        <v>5.0000000000000001E-3</v>
      </c>
    </row>
    <row r="38" spans="1:8" x14ac:dyDescent="0.25">
      <c r="A38" t="s">
        <v>44</v>
      </c>
      <c r="B38">
        <v>5</v>
      </c>
      <c r="C38">
        <v>0.85399999999999998</v>
      </c>
      <c r="D38">
        <v>0.85299999999999998</v>
      </c>
      <c r="E38">
        <v>0.86699999999999999</v>
      </c>
      <c r="F38">
        <v>0.84799999999999998</v>
      </c>
      <c r="G38">
        <v>8.0000000000000002E-3</v>
      </c>
    </row>
    <row r="39" spans="1:8" x14ac:dyDescent="0.25">
      <c r="A39" t="s">
        <v>45</v>
      </c>
      <c r="B39">
        <v>5</v>
      </c>
      <c r="C39">
        <v>0.55000000000000004</v>
      </c>
      <c r="D39">
        <v>0.55300000000000005</v>
      </c>
      <c r="E39">
        <v>0.55300000000000005</v>
      </c>
      <c r="F39">
        <v>0.54800000000000004</v>
      </c>
      <c r="G39">
        <v>2E-3</v>
      </c>
    </row>
    <row r="40" spans="1:8" x14ac:dyDescent="0.25">
      <c r="A40" t="s">
        <v>46</v>
      </c>
      <c r="B40">
        <v>5</v>
      </c>
      <c r="C40">
        <v>4.1260000000000003</v>
      </c>
      <c r="D40">
        <v>4.1269999999999998</v>
      </c>
      <c r="E40">
        <v>4.1289999999999996</v>
      </c>
      <c r="F40">
        <v>4.117</v>
      </c>
      <c r="G40">
        <v>5.0000000000000001E-3</v>
      </c>
    </row>
    <row r="41" spans="1:8" x14ac:dyDescent="0.25">
      <c r="A41" t="s">
        <v>47</v>
      </c>
      <c r="B41">
        <v>5</v>
      </c>
      <c r="C41">
        <v>0.96099999999999997</v>
      </c>
      <c r="D41">
        <v>0.96299999999999997</v>
      </c>
      <c r="E41">
        <v>0.96299999999999997</v>
      </c>
      <c r="F41">
        <v>0.95899999999999996</v>
      </c>
      <c r="G41">
        <v>2E-3</v>
      </c>
    </row>
    <row r="42" spans="1:8" x14ac:dyDescent="0.25">
      <c r="A42" t="s">
        <v>48</v>
      </c>
      <c r="B42">
        <v>8</v>
      </c>
      <c r="C42">
        <v>0.112</v>
      </c>
      <c r="D42">
        <v>0.113</v>
      </c>
      <c r="E42">
        <v>0.113</v>
      </c>
      <c r="F42">
        <v>0.111</v>
      </c>
      <c r="G42">
        <v>1E-3</v>
      </c>
    </row>
    <row r="43" spans="1:8" x14ac:dyDescent="0.25">
      <c r="A43" t="s">
        <v>49</v>
      </c>
      <c r="B43">
        <v>8</v>
      </c>
      <c r="C43">
        <v>0.90700000000000003</v>
      </c>
      <c r="D43">
        <v>0.90700000000000003</v>
      </c>
      <c r="E43">
        <v>0.91200000000000003</v>
      </c>
      <c r="F43">
        <v>0.90200000000000002</v>
      </c>
      <c r="G43">
        <v>3.0000000000000001E-3</v>
      </c>
    </row>
    <row r="44" spans="1:8" x14ac:dyDescent="0.25">
      <c r="A44" t="s">
        <v>50</v>
      </c>
      <c r="B44">
        <v>8</v>
      </c>
      <c r="C44">
        <v>0.82099999999999995</v>
      </c>
      <c r="D44">
        <v>0.81899999999999995</v>
      </c>
      <c r="E44">
        <v>0.82399999999999995</v>
      </c>
      <c r="F44">
        <v>0.81899999999999995</v>
      </c>
      <c r="G44">
        <v>2E-3</v>
      </c>
    </row>
    <row r="45" spans="1:8" x14ac:dyDescent="0.25">
      <c r="A45" t="s">
        <v>51</v>
      </c>
      <c r="B45">
        <v>8</v>
      </c>
      <c r="C45">
        <v>1.3560000000000001</v>
      </c>
      <c r="D45">
        <v>1.3640000000000001</v>
      </c>
      <c r="E45">
        <v>1.3640000000000001</v>
      </c>
      <c r="F45">
        <v>1.353</v>
      </c>
      <c r="G45">
        <v>4.0000000000000001E-3</v>
      </c>
    </row>
    <row r="46" spans="1:8" x14ac:dyDescent="0.25">
      <c r="A46" t="s">
        <v>52</v>
      </c>
      <c r="B46">
        <v>8</v>
      </c>
      <c r="C46">
        <v>1.4770000000000001</v>
      </c>
      <c r="D46">
        <v>1.391</v>
      </c>
      <c r="E46">
        <v>1.4990000000000001</v>
      </c>
      <c r="F46">
        <v>1.391</v>
      </c>
      <c r="G46">
        <v>3.5000000000000003E-2</v>
      </c>
    </row>
    <row r="47" spans="1:8" x14ac:dyDescent="0.25">
      <c r="A47" t="s">
        <v>53</v>
      </c>
      <c r="B47">
        <v>8</v>
      </c>
      <c r="C47">
        <v>1.012</v>
      </c>
      <c r="D47">
        <v>1.0149999999999999</v>
      </c>
      <c r="E47">
        <v>1.022</v>
      </c>
      <c r="F47">
        <v>1.004</v>
      </c>
      <c r="G47">
        <v>7.0000000000000001E-3</v>
      </c>
    </row>
    <row r="48" spans="1:8" x14ac:dyDescent="0.25">
      <c r="A48" t="s">
        <v>54</v>
      </c>
      <c r="B48">
        <v>8</v>
      </c>
      <c r="C48">
        <v>0.80400000000000005</v>
      </c>
      <c r="D48">
        <v>0.80300000000000005</v>
      </c>
      <c r="E48">
        <v>0.80700000000000005</v>
      </c>
      <c r="F48">
        <v>0.80200000000000005</v>
      </c>
      <c r="G48">
        <v>2E-3</v>
      </c>
    </row>
    <row r="49" spans="1:7" x14ac:dyDescent="0.25">
      <c r="A49" t="s">
        <v>55</v>
      </c>
      <c r="B49">
        <v>8</v>
      </c>
      <c r="C49">
        <v>1.2589999999999999</v>
      </c>
      <c r="D49">
        <v>1.2729999999999999</v>
      </c>
      <c r="E49">
        <v>1.2729999999999999</v>
      </c>
      <c r="F49">
        <v>1.254</v>
      </c>
      <c r="G49">
        <v>6.0000000000000001E-3</v>
      </c>
    </row>
    <row r="50" spans="1:7" x14ac:dyDescent="0.25">
      <c r="A50" t="s">
        <v>56</v>
      </c>
      <c r="B50">
        <v>8</v>
      </c>
      <c r="C50">
        <v>0.85399999999999998</v>
      </c>
      <c r="D50">
        <v>0.85299999999999998</v>
      </c>
      <c r="E50">
        <v>0.85699999999999998</v>
      </c>
      <c r="F50">
        <v>0.85299999999999998</v>
      </c>
      <c r="G50">
        <v>1E-3</v>
      </c>
    </row>
    <row r="51" spans="1:7" x14ac:dyDescent="0.25">
      <c r="A51" t="s">
        <v>57</v>
      </c>
      <c r="B51">
        <v>8</v>
      </c>
      <c r="C51">
        <v>0.68400000000000005</v>
      </c>
      <c r="D51">
        <v>0.68300000000000005</v>
      </c>
      <c r="E51">
        <v>0.68600000000000005</v>
      </c>
      <c r="F51">
        <v>0.68200000000000005</v>
      </c>
      <c r="G51">
        <v>2E-3</v>
      </c>
    </row>
    <row r="52" spans="1:7" x14ac:dyDescent="0.25">
      <c r="A52" t="s">
        <v>58</v>
      </c>
      <c r="B52">
        <v>8</v>
      </c>
      <c r="C52">
        <v>0.67600000000000005</v>
      </c>
      <c r="D52">
        <v>0.67700000000000005</v>
      </c>
      <c r="E52">
        <v>0.67900000000000005</v>
      </c>
      <c r="F52">
        <v>0.67400000000000004</v>
      </c>
      <c r="G52">
        <v>2E-3</v>
      </c>
    </row>
    <row r="53" spans="1:7" x14ac:dyDescent="0.25">
      <c r="A53" t="s">
        <v>59</v>
      </c>
      <c r="B53">
        <v>8</v>
      </c>
      <c r="C53">
        <v>0.32100000000000001</v>
      </c>
      <c r="D53">
        <v>0.32100000000000001</v>
      </c>
      <c r="E53">
        <v>0.32400000000000001</v>
      </c>
      <c r="F53">
        <v>0.32</v>
      </c>
      <c r="G53">
        <v>1E-3</v>
      </c>
    </row>
    <row r="54" spans="1:7" x14ac:dyDescent="0.25">
      <c r="A54" t="s">
        <v>60</v>
      </c>
      <c r="B54">
        <v>8</v>
      </c>
      <c r="C54">
        <v>7.6999999999999999E-2</v>
      </c>
      <c r="D54">
        <v>7.8E-2</v>
      </c>
      <c r="E54">
        <v>7.8E-2</v>
      </c>
      <c r="F54">
        <v>7.6999999999999999E-2</v>
      </c>
      <c r="G54">
        <v>0</v>
      </c>
    </row>
    <row r="55" spans="1:7" x14ac:dyDescent="0.25">
      <c r="A55" t="s">
        <v>61</v>
      </c>
      <c r="B55">
        <v>8</v>
      </c>
      <c r="C55">
        <v>5.1999999999999998E-2</v>
      </c>
      <c r="D55">
        <v>5.1999999999999998E-2</v>
      </c>
      <c r="E55">
        <v>5.1999999999999998E-2</v>
      </c>
      <c r="F55">
        <v>5.0999999999999997E-2</v>
      </c>
      <c r="G55">
        <v>1E-3</v>
      </c>
    </row>
    <row r="56" spans="1:7" x14ac:dyDescent="0.25">
      <c r="A56" t="s">
        <v>62</v>
      </c>
      <c r="B56">
        <v>8</v>
      </c>
      <c r="C56">
        <v>0.123</v>
      </c>
      <c r="D56">
        <v>0.124</v>
      </c>
      <c r="E56">
        <v>0.125</v>
      </c>
      <c r="F56">
        <v>0.122</v>
      </c>
      <c r="G56">
        <v>1E-3</v>
      </c>
    </row>
    <row r="57" spans="1:7" x14ac:dyDescent="0.25">
      <c r="A57" t="s">
        <v>63</v>
      </c>
      <c r="B57">
        <v>8</v>
      </c>
      <c r="C57">
        <v>0.123</v>
      </c>
      <c r="D57">
        <v>0.123</v>
      </c>
      <c r="E57">
        <v>0.123</v>
      </c>
      <c r="F57">
        <v>0.122</v>
      </c>
      <c r="G57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5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1" max="1" width="39" bestFit="1" customWidth="1"/>
    <col min="2" max="2" width="3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8" x14ac:dyDescent="0.25">
      <c r="A2" t="s">
        <v>7</v>
      </c>
      <c r="B2">
        <v>8</v>
      </c>
      <c r="C2">
        <v>4.8000000000000001E-2</v>
      </c>
      <c r="D2">
        <v>8.4000000000000005E-2</v>
      </c>
      <c r="E2">
        <v>8.4000000000000005E-2</v>
      </c>
      <c r="F2">
        <v>4.2999999999999997E-2</v>
      </c>
      <c r="G2">
        <v>1.4E-2</v>
      </c>
    </row>
    <row r="3" spans="1:8" x14ac:dyDescent="0.25">
      <c r="A3" t="s">
        <v>9</v>
      </c>
      <c r="B3">
        <v>8</v>
      </c>
      <c r="C3">
        <v>2.1000000000000001E-2</v>
      </c>
      <c r="D3">
        <v>2.1999999999999999E-2</v>
      </c>
      <c r="E3">
        <v>2.1999999999999999E-2</v>
      </c>
      <c r="F3">
        <v>0.02</v>
      </c>
      <c r="G3">
        <v>1E-3</v>
      </c>
    </row>
    <row r="4" spans="1:8" x14ac:dyDescent="0.25">
      <c r="A4" t="s">
        <v>10</v>
      </c>
      <c r="B4">
        <v>8</v>
      </c>
      <c r="C4">
        <v>2.1000000000000001E-2</v>
      </c>
      <c r="D4">
        <v>2.4E-2</v>
      </c>
      <c r="E4">
        <v>2.4E-2</v>
      </c>
      <c r="F4">
        <v>2.1000000000000001E-2</v>
      </c>
      <c r="G4">
        <v>1E-3</v>
      </c>
    </row>
    <row r="5" spans="1:8" x14ac:dyDescent="0.25">
      <c r="A5" t="s">
        <v>11</v>
      </c>
      <c r="B5">
        <v>3</v>
      </c>
      <c r="C5">
        <v>0.113</v>
      </c>
      <c r="D5">
        <v>0.113</v>
      </c>
      <c r="E5">
        <v>0.114</v>
      </c>
      <c r="F5">
        <v>0.112</v>
      </c>
      <c r="G5">
        <v>1E-3</v>
      </c>
    </row>
    <row r="6" spans="1:8" x14ac:dyDescent="0.25">
      <c r="A6" t="s">
        <v>12</v>
      </c>
      <c r="B6">
        <v>3</v>
      </c>
      <c r="C6">
        <v>0.4</v>
      </c>
      <c r="D6">
        <v>0.40899999999999997</v>
      </c>
      <c r="E6">
        <v>0.40899999999999997</v>
      </c>
      <c r="F6">
        <v>0.39300000000000002</v>
      </c>
      <c r="G6">
        <v>8.0000000000000002E-3</v>
      </c>
    </row>
    <row r="7" spans="1:8" x14ac:dyDescent="0.25">
      <c r="A7" t="s">
        <v>13</v>
      </c>
      <c r="B7">
        <v>3</v>
      </c>
      <c r="C7">
        <v>0.248</v>
      </c>
      <c r="D7">
        <v>0.247</v>
      </c>
      <c r="E7">
        <v>0.25800000000000001</v>
      </c>
      <c r="F7">
        <v>0.24</v>
      </c>
      <c r="G7">
        <v>8.9999999999999993E-3</v>
      </c>
    </row>
    <row r="8" spans="1:8" x14ac:dyDescent="0.25">
      <c r="A8" t="s">
        <v>14</v>
      </c>
      <c r="B8">
        <v>3</v>
      </c>
      <c r="C8">
        <v>0.23400000000000001</v>
      </c>
      <c r="D8">
        <v>0.23100000000000001</v>
      </c>
      <c r="E8">
        <v>0.23599999999999999</v>
      </c>
      <c r="F8">
        <v>0.23100000000000001</v>
      </c>
      <c r="G8">
        <v>3.0000000000000001E-3</v>
      </c>
    </row>
    <row r="9" spans="1:8" x14ac:dyDescent="0.25">
      <c r="A9" t="s">
        <v>15</v>
      </c>
      <c r="B9">
        <v>5</v>
      </c>
      <c r="C9">
        <v>1.1679999999999999</v>
      </c>
      <c r="D9">
        <v>1.1859999999999999</v>
      </c>
      <c r="E9">
        <v>1.1859999999999999</v>
      </c>
      <c r="F9">
        <v>1.1459999999999999</v>
      </c>
      <c r="G9">
        <v>1.6E-2</v>
      </c>
    </row>
    <row r="10" spans="1:8" x14ac:dyDescent="0.25">
      <c r="A10" t="s">
        <v>16</v>
      </c>
      <c r="B10">
        <v>5</v>
      </c>
      <c r="C10">
        <v>0.32900000000000001</v>
      </c>
      <c r="D10">
        <v>0.33500000000000002</v>
      </c>
      <c r="E10">
        <v>0.33500000000000002</v>
      </c>
      <c r="F10">
        <v>0.32400000000000001</v>
      </c>
      <c r="G10">
        <v>4.0000000000000001E-3</v>
      </c>
    </row>
    <row r="11" spans="1:8" x14ac:dyDescent="0.25">
      <c r="A11" t="s">
        <v>17</v>
      </c>
      <c r="B11">
        <v>5</v>
      </c>
      <c r="C11">
        <v>0.56399999999999995</v>
      </c>
      <c r="D11">
        <v>0.57099999999999995</v>
      </c>
      <c r="E11">
        <v>0.57099999999999995</v>
      </c>
      <c r="F11">
        <v>0.55900000000000005</v>
      </c>
      <c r="G11">
        <v>5.0000000000000001E-3</v>
      </c>
    </row>
    <row r="12" spans="1:8" x14ac:dyDescent="0.25">
      <c r="A12" t="s">
        <v>18</v>
      </c>
      <c r="B12">
        <v>6</v>
      </c>
      <c r="C12">
        <v>7.0000000000000001E-3</v>
      </c>
      <c r="D12">
        <v>7.0000000000000001E-3</v>
      </c>
      <c r="E12">
        <v>7.0000000000000001E-3</v>
      </c>
      <c r="F12">
        <v>7.0000000000000001E-3</v>
      </c>
      <c r="G12">
        <v>0</v>
      </c>
    </row>
    <row r="13" spans="1:8" x14ac:dyDescent="0.25">
      <c r="A13" t="s">
        <v>19</v>
      </c>
      <c r="B13">
        <v>6</v>
      </c>
      <c r="C13">
        <v>0.13300000000000001</v>
      </c>
      <c r="D13">
        <v>0.13400000000000001</v>
      </c>
      <c r="E13">
        <v>0.13400000000000001</v>
      </c>
      <c r="F13">
        <v>0.13300000000000001</v>
      </c>
      <c r="G13">
        <v>0</v>
      </c>
    </row>
    <row r="14" spans="1:8" x14ac:dyDescent="0.25">
      <c r="A14" t="s">
        <v>20</v>
      </c>
      <c r="B14">
        <v>6</v>
      </c>
      <c r="C14">
        <v>3.5000000000000003E-2</v>
      </c>
      <c r="D14">
        <v>3.5000000000000003E-2</v>
      </c>
      <c r="E14">
        <v>3.5000000000000003E-2</v>
      </c>
      <c r="F14">
        <v>3.5000000000000003E-2</v>
      </c>
      <c r="G14">
        <v>0</v>
      </c>
      <c r="H14" s="1"/>
    </row>
    <row r="15" spans="1:8" x14ac:dyDescent="0.25">
      <c r="A15" t="s">
        <v>21</v>
      </c>
      <c r="B15">
        <v>6</v>
      </c>
      <c r="C15">
        <v>4.1000000000000002E-2</v>
      </c>
      <c r="D15">
        <v>4.1000000000000002E-2</v>
      </c>
      <c r="E15">
        <v>4.1000000000000002E-2</v>
      </c>
      <c r="F15">
        <v>4.1000000000000002E-2</v>
      </c>
      <c r="G15">
        <v>0</v>
      </c>
    </row>
    <row r="16" spans="1:8" x14ac:dyDescent="0.25">
      <c r="A16" t="s">
        <v>22</v>
      </c>
      <c r="B16">
        <v>5</v>
      </c>
      <c r="C16">
        <v>0.51</v>
      </c>
      <c r="D16">
        <v>0.51</v>
      </c>
      <c r="E16">
        <v>0.51300000000000001</v>
      </c>
      <c r="F16">
        <v>0.50900000000000001</v>
      </c>
      <c r="G16">
        <v>2E-3</v>
      </c>
    </row>
    <row r="17" spans="1:7" x14ac:dyDescent="0.25">
      <c r="A17" t="s">
        <v>23</v>
      </c>
      <c r="B17">
        <v>5</v>
      </c>
      <c r="C17">
        <v>0.114</v>
      </c>
      <c r="D17">
        <v>0.114</v>
      </c>
      <c r="E17">
        <v>0.114</v>
      </c>
      <c r="F17">
        <v>0.114</v>
      </c>
      <c r="G17">
        <v>0</v>
      </c>
    </row>
    <row r="18" spans="1:7" x14ac:dyDescent="0.25">
      <c r="A18" t="s">
        <v>24</v>
      </c>
      <c r="B18">
        <v>5</v>
      </c>
      <c r="C18">
        <v>3.5999999999999997E-2</v>
      </c>
      <c r="D18">
        <v>3.6999999999999998E-2</v>
      </c>
      <c r="E18">
        <v>3.6999999999999998E-2</v>
      </c>
      <c r="F18">
        <v>3.5999999999999997E-2</v>
      </c>
      <c r="G18">
        <v>0</v>
      </c>
    </row>
    <row r="19" spans="1:7" x14ac:dyDescent="0.25">
      <c r="A19" t="s">
        <v>25</v>
      </c>
      <c r="B19">
        <v>5</v>
      </c>
      <c r="C19">
        <v>3.5999999999999997E-2</v>
      </c>
      <c r="D19">
        <v>3.6999999999999998E-2</v>
      </c>
      <c r="E19">
        <v>3.6999999999999998E-2</v>
      </c>
      <c r="F19">
        <v>3.5999999999999997E-2</v>
      </c>
      <c r="G19">
        <v>0</v>
      </c>
    </row>
    <row r="20" spans="1:7" x14ac:dyDescent="0.25">
      <c r="A20" t="s">
        <v>26</v>
      </c>
      <c r="B20">
        <v>5</v>
      </c>
      <c r="C20">
        <v>2.7E-2</v>
      </c>
      <c r="D20">
        <v>2.7E-2</v>
      </c>
      <c r="E20">
        <v>2.7E-2</v>
      </c>
      <c r="F20">
        <v>2.7E-2</v>
      </c>
      <c r="G20">
        <v>0</v>
      </c>
    </row>
    <row r="21" spans="1:7" x14ac:dyDescent="0.25">
      <c r="A21" t="s">
        <v>27</v>
      </c>
      <c r="B21">
        <v>5</v>
      </c>
      <c r="C21">
        <v>2.7E-2</v>
      </c>
      <c r="D21">
        <v>2.7E-2</v>
      </c>
      <c r="E21">
        <v>2.7E-2</v>
      </c>
      <c r="F21">
        <v>2.7E-2</v>
      </c>
      <c r="G21">
        <v>0</v>
      </c>
    </row>
    <row r="22" spans="1:7" x14ac:dyDescent="0.25">
      <c r="A22" t="s">
        <v>28</v>
      </c>
      <c r="B22">
        <v>8</v>
      </c>
      <c r="C22">
        <v>0.156</v>
      </c>
      <c r="D22">
        <v>0.157</v>
      </c>
      <c r="E22">
        <v>0.157</v>
      </c>
      <c r="F22">
        <v>0.155</v>
      </c>
      <c r="G22">
        <v>1E-3</v>
      </c>
    </row>
    <row r="23" spans="1:7" x14ac:dyDescent="0.25">
      <c r="A23" t="s">
        <v>29</v>
      </c>
      <c r="B23">
        <v>8</v>
      </c>
      <c r="C23">
        <v>0.156</v>
      </c>
      <c r="D23">
        <v>0.158</v>
      </c>
      <c r="E23">
        <v>0.158</v>
      </c>
      <c r="F23">
        <v>0.155</v>
      </c>
      <c r="G23">
        <v>1E-3</v>
      </c>
    </row>
    <row r="24" spans="1:7" x14ac:dyDescent="0.25">
      <c r="A24" t="s">
        <v>30</v>
      </c>
      <c r="B24">
        <v>8</v>
      </c>
      <c r="C24">
        <v>0.156</v>
      </c>
      <c r="D24">
        <v>0.158</v>
      </c>
      <c r="E24">
        <v>0.158</v>
      </c>
      <c r="F24">
        <v>0.155</v>
      </c>
      <c r="G24">
        <v>1E-3</v>
      </c>
    </row>
    <row r="25" spans="1:7" x14ac:dyDescent="0.25">
      <c r="A25" t="s">
        <v>31</v>
      </c>
      <c r="B25">
        <v>8</v>
      </c>
      <c r="C25">
        <v>0.67700000000000005</v>
      </c>
      <c r="D25">
        <v>0.68</v>
      </c>
      <c r="E25">
        <v>0.68</v>
      </c>
      <c r="F25">
        <v>0.67500000000000004</v>
      </c>
      <c r="G25">
        <v>2E-3</v>
      </c>
    </row>
    <row r="26" spans="1:7" x14ac:dyDescent="0.25">
      <c r="A26" t="s">
        <v>32</v>
      </c>
      <c r="B26">
        <v>8</v>
      </c>
      <c r="C26">
        <v>0.156</v>
      </c>
      <c r="D26">
        <v>0.157</v>
      </c>
      <c r="E26">
        <v>0.157</v>
      </c>
      <c r="F26">
        <v>0.155</v>
      </c>
      <c r="G26">
        <v>1E-3</v>
      </c>
    </row>
    <row r="27" spans="1:7" x14ac:dyDescent="0.25">
      <c r="A27" t="s">
        <v>33</v>
      </c>
      <c r="B27">
        <v>5</v>
      </c>
      <c r="C27">
        <v>1E-3</v>
      </c>
      <c r="D27">
        <v>2E-3</v>
      </c>
      <c r="E27">
        <v>2E-3</v>
      </c>
      <c r="F27">
        <v>1E-3</v>
      </c>
      <c r="G27">
        <v>0</v>
      </c>
    </row>
    <row r="28" spans="1:7" x14ac:dyDescent="0.25">
      <c r="A28" t="s">
        <v>34</v>
      </c>
      <c r="B28">
        <v>5</v>
      </c>
      <c r="C28">
        <v>3.6999999999999998E-2</v>
      </c>
      <c r="D28">
        <v>3.7999999999999999E-2</v>
      </c>
      <c r="E28">
        <v>3.7999999999999999E-2</v>
      </c>
      <c r="F28">
        <v>3.5999999999999997E-2</v>
      </c>
      <c r="G28">
        <v>1E-3</v>
      </c>
    </row>
    <row r="29" spans="1:7" x14ac:dyDescent="0.25">
      <c r="A29" t="s">
        <v>35</v>
      </c>
      <c r="B29">
        <v>20</v>
      </c>
      <c r="C29">
        <v>4.1000000000000002E-2</v>
      </c>
      <c r="D29">
        <v>4.1000000000000002E-2</v>
      </c>
      <c r="E29">
        <v>4.1000000000000002E-2</v>
      </c>
      <c r="F29">
        <v>4.1000000000000002E-2</v>
      </c>
      <c r="G29">
        <v>0</v>
      </c>
    </row>
    <row r="30" spans="1:7" x14ac:dyDescent="0.25">
      <c r="A30" t="s">
        <v>36</v>
      </c>
      <c r="B30">
        <v>20</v>
      </c>
      <c r="C30">
        <v>2.5000000000000001E-2</v>
      </c>
      <c r="D30">
        <v>2.5999999999999999E-2</v>
      </c>
      <c r="E30">
        <v>2.5999999999999999E-2</v>
      </c>
      <c r="F30">
        <v>2.5000000000000001E-2</v>
      </c>
      <c r="G30">
        <v>1E-3</v>
      </c>
    </row>
    <row r="31" spans="1:7" x14ac:dyDescent="0.25">
      <c r="A31" t="s">
        <v>37</v>
      </c>
      <c r="B31">
        <v>20</v>
      </c>
      <c r="C31">
        <v>5.0000000000000001E-3</v>
      </c>
      <c r="D31">
        <v>5.0000000000000001E-3</v>
      </c>
      <c r="E31">
        <v>5.0000000000000001E-3</v>
      </c>
      <c r="F31">
        <v>5.0000000000000001E-3</v>
      </c>
      <c r="G31">
        <v>0</v>
      </c>
    </row>
    <row r="32" spans="1:7" x14ac:dyDescent="0.25">
      <c r="A32" t="s">
        <v>38</v>
      </c>
      <c r="B32">
        <v>20</v>
      </c>
      <c r="C32">
        <v>3.1E-2</v>
      </c>
      <c r="D32">
        <v>3.1E-2</v>
      </c>
      <c r="E32">
        <v>3.1E-2</v>
      </c>
      <c r="F32">
        <v>3.1E-2</v>
      </c>
      <c r="G32">
        <v>0</v>
      </c>
    </row>
    <row r="33" spans="1:8" x14ac:dyDescent="0.25">
      <c r="A33" t="s">
        <v>39</v>
      </c>
      <c r="B33">
        <v>5</v>
      </c>
      <c r="C33">
        <v>0.82899999999999996</v>
      </c>
      <c r="D33">
        <v>0.83899999999999997</v>
      </c>
      <c r="E33">
        <v>0.83899999999999997</v>
      </c>
      <c r="F33">
        <v>0.82099999999999995</v>
      </c>
      <c r="G33">
        <v>8.0000000000000002E-3</v>
      </c>
    </row>
    <row r="34" spans="1:8" x14ac:dyDescent="0.25">
      <c r="A34" t="s">
        <v>40</v>
      </c>
      <c r="B34">
        <v>5</v>
      </c>
      <c r="C34">
        <v>0.78700000000000003</v>
      </c>
      <c r="D34">
        <v>0.79500000000000004</v>
      </c>
      <c r="E34">
        <v>0.79500000000000004</v>
      </c>
      <c r="F34">
        <v>0.78300000000000003</v>
      </c>
      <c r="G34">
        <v>5.0000000000000001E-3</v>
      </c>
      <c r="H34" s="1"/>
    </row>
    <row r="35" spans="1:8" x14ac:dyDescent="0.25">
      <c r="A35" t="s">
        <v>41</v>
      </c>
      <c r="B35">
        <v>5</v>
      </c>
      <c r="C35">
        <v>0.63400000000000001</v>
      </c>
      <c r="D35">
        <v>0.63900000000000001</v>
      </c>
      <c r="E35">
        <v>0.63900000000000001</v>
      </c>
      <c r="F35">
        <v>0.629</v>
      </c>
      <c r="G35">
        <v>5.0000000000000001E-3</v>
      </c>
    </row>
    <row r="36" spans="1:8" x14ac:dyDescent="0.25">
      <c r="A36" t="s">
        <v>42</v>
      </c>
      <c r="B36">
        <v>5</v>
      </c>
      <c r="C36">
        <v>1.3360000000000001</v>
      </c>
      <c r="D36">
        <v>1.3480000000000001</v>
      </c>
      <c r="E36">
        <v>1.3480000000000001</v>
      </c>
      <c r="F36">
        <v>1.323</v>
      </c>
      <c r="G36">
        <v>0.01</v>
      </c>
    </row>
    <row r="37" spans="1:8" x14ac:dyDescent="0.25">
      <c r="A37" t="s">
        <v>43</v>
      </c>
      <c r="B37">
        <v>5</v>
      </c>
      <c r="C37">
        <v>0.81599999999999995</v>
      </c>
      <c r="D37">
        <v>0.81899999999999995</v>
      </c>
      <c r="E37">
        <v>0.82599999999999996</v>
      </c>
      <c r="F37">
        <v>0.80400000000000005</v>
      </c>
      <c r="G37">
        <v>0.01</v>
      </c>
    </row>
    <row r="38" spans="1:8" x14ac:dyDescent="0.25">
      <c r="A38" t="s">
        <v>44</v>
      </c>
      <c r="B38">
        <v>5</v>
      </c>
      <c r="C38">
        <v>0.83499999999999996</v>
      </c>
      <c r="D38">
        <v>0.84199999999999997</v>
      </c>
      <c r="E38">
        <v>0.84299999999999997</v>
      </c>
      <c r="F38">
        <v>0.82399999999999995</v>
      </c>
      <c r="G38">
        <v>8.0000000000000002E-3</v>
      </c>
    </row>
    <row r="39" spans="1:8" x14ac:dyDescent="0.25">
      <c r="A39" t="s">
        <v>45</v>
      </c>
      <c r="B39">
        <v>5</v>
      </c>
      <c r="C39">
        <v>0.58499999999999996</v>
      </c>
      <c r="D39">
        <v>0.58899999999999997</v>
      </c>
      <c r="E39">
        <v>0.58899999999999997</v>
      </c>
      <c r="F39">
        <v>0.58099999999999996</v>
      </c>
      <c r="G39">
        <v>3.0000000000000001E-3</v>
      </c>
    </row>
    <row r="40" spans="1:8" x14ac:dyDescent="0.25">
      <c r="A40" t="s">
        <v>46</v>
      </c>
      <c r="B40">
        <v>5</v>
      </c>
      <c r="C40">
        <v>3.8460000000000001</v>
      </c>
      <c r="D40">
        <v>3.8559999999999999</v>
      </c>
      <c r="E40">
        <v>3.8559999999999999</v>
      </c>
      <c r="F40">
        <v>3.839</v>
      </c>
      <c r="G40">
        <v>7.0000000000000001E-3</v>
      </c>
    </row>
    <row r="41" spans="1:8" x14ac:dyDescent="0.25">
      <c r="A41" t="s">
        <v>47</v>
      </c>
      <c r="B41">
        <v>5</v>
      </c>
      <c r="C41">
        <v>0.91500000000000004</v>
      </c>
      <c r="D41">
        <v>0.93899999999999995</v>
      </c>
      <c r="E41">
        <v>0.93899999999999995</v>
      </c>
      <c r="F41">
        <v>0.90800000000000003</v>
      </c>
      <c r="G41">
        <v>1.2999999999999999E-2</v>
      </c>
    </row>
    <row r="42" spans="1:8" x14ac:dyDescent="0.25">
      <c r="A42" t="s">
        <v>48</v>
      </c>
      <c r="B42">
        <v>8</v>
      </c>
      <c r="C42">
        <v>0.10199999999999999</v>
      </c>
      <c r="D42">
        <v>0.107</v>
      </c>
      <c r="E42">
        <v>0.107</v>
      </c>
      <c r="F42">
        <v>0.10100000000000001</v>
      </c>
      <c r="G42">
        <v>2E-3</v>
      </c>
    </row>
    <row r="43" spans="1:8" x14ac:dyDescent="0.25">
      <c r="A43" t="s">
        <v>49</v>
      </c>
      <c r="B43">
        <v>8</v>
      </c>
      <c r="C43">
        <v>1.7310000000000001</v>
      </c>
      <c r="D43">
        <v>1.736</v>
      </c>
      <c r="E43">
        <v>1.736</v>
      </c>
      <c r="F43">
        <v>1.7270000000000001</v>
      </c>
      <c r="G43">
        <v>3.0000000000000001E-3</v>
      </c>
    </row>
    <row r="44" spans="1:8" x14ac:dyDescent="0.25">
      <c r="A44" t="s">
        <v>50</v>
      </c>
      <c r="B44">
        <v>8</v>
      </c>
      <c r="C44">
        <v>0.58499999999999996</v>
      </c>
      <c r="D44">
        <v>0.58599999999999997</v>
      </c>
      <c r="E44">
        <v>0.58699999999999997</v>
      </c>
      <c r="F44">
        <v>0.58499999999999996</v>
      </c>
      <c r="G44">
        <v>1E-3</v>
      </c>
    </row>
    <row r="45" spans="1:8" x14ac:dyDescent="0.25">
      <c r="A45" t="s">
        <v>51</v>
      </c>
      <c r="B45">
        <v>8</v>
      </c>
      <c r="C45">
        <v>1.101</v>
      </c>
      <c r="D45">
        <v>1.1120000000000001</v>
      </c>
      <c r="E45">
        <v>1.1120000000000001</v>
      </c>
      <c r="F45">
        <v>1.0960000000000001</v>
      </c>
      <c r="G45">
        <v>5.0000000000000001E-3</v>
      </c>
    </row>
    <row r="46" spans="1:8" x14ac:dyDescent="0.25">
      <c r="A46" t="s">
        <v>52</v>
      </c>
      <c r="B46">
        <v>8</v>
      </c>
      <c r="C46">
        <v>1.51</v>
      </c>
      <c r="D46">
        <v>1.5209999999999999</v>
      </c>
      <c r="E46">
        <v>1.5209999999999999</v>
      </c>
      <c r="F46">
        <v>1.4930000000000001</v>
      </c>
      <c r="G46">
        <v>8.9999999999999993E-3</v>
      </c>
    </row>
    <row r="47" spans="1:8" x14ac:dyDescent="0.25">
      <c r="A47" t="s">
        <v>53</v>
      </c>
      <c r="B47">
        <v>8</v>
      </c>
      <c r="C47">
        <v>1.0369999999999999</v>
      </c>
      <c r="D47">
        <v>1.04</v>
      </c>
      <c r="E47">
        <v>1.0469999999999999</v>
      </c>
      <c r="F47">
        <v>1.0289999999999999</v>
      </c>
      <c r="G47">
        <v>7.0000000000000001E-3</v>
      </c>
    </row>
    <row r="48" spans="1:8" x14ac:dyDescent="0.25">
      <c r="A48" t="s">
        <v>54</v>
      </c>
      <c r="B48">
        <v>8</v>
      </c>
      <c r="C48">
        <v>0.86199999999999999</v>
      </c>
      <c r="D48">
        <v>0.86299999999999999</v>
      </c>
      <c r="E48">
        <v>0.86499999999999999</v>
      </c>
      <c r="F48">
        <v>0.85899999999999999</v>
      </c>
      <c r="G48">
        <v>2E-3</v>
      </c>
    </row>
    <row r="49" spans="1:7" x14ac:dyDescent="0.25">
      <c r="A49" t="s">
        <v>55</v>
      </c>
      <c r="B49">
        <v>8</v>
      </c>
      <c r="C49">
        <v>0.97099999999999997</v>
      </c>
      <c r="D49">
        <v>0.97599999999999998</v>
      </c>
      <c r="E49">
        <v>0.97599999999999998</v>
      </c>
      <c r="F49">
        <v>0.96799999999999997</v>
      </c>
      <c r="G49">
        <v>3.0000000000000001E-3</v>
      </c>
    </row>
    <row r="50" spans="1:7" x14ac:dyDescent="0.25">
      <c r="A50" t="s">
        <v>56</v>
      </c>
      <c r="B50">
        <v>8</v>
      </c>
      <c r="C50">
        <v>0.65400000000000003</v>
      </c>
      <c r="D50">
        <v>0.65600000000000003</v>
      </c>
      <c r="E50">
        <v>0.65700000000000003</v>
      </c>
      <c r="F50">
        <v>0.65200000000000002</v>
      </c>
      <c r="G50">
        <v>2E-3</v>
      </c>
    </row>
    <row r="51" spans="1:7" x14ac:dyDescent="0.25">
      <c r="A51" t="s">
        <v>57</v>
      </c>
      <c r="B51">
        <v>8</v>
      </c>
      <c r="C51">
        <v>0.61299999999999999</v>
      </c>
      <c r="D51">
        <v>0.61599999999999999</v>
      </c>
      <c r="E51">
        <v>0.61599999999999999</v>
      </c>
      <c r="F51">
        <v>0.61099999999999999</v>
      </c>
      <c r="G51">
        <v>2E-3</v>
      </c>
    </row>
    <row r="52" spans="1:7" x14ac:dyDescent="0.25">
      <c r="A52" t="s">
        <v>58</v>
      </c>
      <c r="B52">
        <v>8</v>
      </c>
      <c r="C52">
        <v>0.95299999999999996</v>
      </c>
      <c r="D52">
        <v>0.95399999999999996</v>
      </c>
      <c r="E52">
        <v>0.95399999999999996</v>
      </c>
      <c r="F52">
        <v>0.95</v>
      </c>
      <c r="G52">
        <v>2E-3</v>
      </c>
    </row>
    <row r="53" spans="1:7" x14ac:dyDescent="0.25">
      <c r="A53" t="s">
        <v>59</v>
      </c>
      <c r="B53">
        <v>8</v>
      </c>
      <c r="C53">
        <v>0.58799999999999997</v>
      </c>
      <c r="D53">
        <v>0.58799999999999997</v>
      </c>
      <c r="E53">
        <v>0.59</v>
      </c>
      <c r="F53">
        <v>0.58599999999999997</v>
      </c>
      <c r="G53">
        <v>1E-3</v>
      </c>
    </row>
    <row r="54" spans="1:7" x14ac:dyDescent="0.25">
      <c r="A54" t="s">
        <v>60</v>
      </c>
      <c r="B54">
        <v>8</v>
      </c>
      <c r="C54">
        <v>1.9E-2</v>
      </c>
      <c r="D54">
        <v>1.9E-2</v>
      </c>
      <c r="E54">
        <v>1.9E-2</v>
      </c>
      <c r="F54">
        <v>1.9E-2</v>
      </c>
      <c r="G54">
        <v>0</v>
      </c>
    </row>
    <row r="55" spans="1:7" x14ac:dyDescent="0.25">
      <c r="A55" t="s">
        <v>61</v>
      </c>
      <c r="B55">
        <v>8</v>
      </c>
      <c r="C55">
        <v>7.6999999999999999E-2</v>
      </c>
      <c r="D55">
        <v>7.6999999999999999E-2</v>
      </c>
      <c r="E55">
        <v>7.6999999999999999E-2</v>
      </c>
      <c r="F55">
        <v>7.6999999999999999E-2</v>
      </c>
      <c r="G55">
        <v>0</v>
      </c>
    </row>
    <row r="56" spans="1:7" x14ac:dyDescent="0.25">
      <c r="A56" t="s">
        <v>62</v>
      </c>
      <c r="B56">
        <v>8</v>
      </c>
      <c r="C56">
        <v>0.13</v>
      </c>
      <c r="D56">
        <v>0.13</v>
      </c>
      <c r="E56">
        <v>0.13</v>
      </c>
      <c r="F56">
        <v>0.129</v>
      </c>
      <c r="G56">
        <v>0</v>
      </c>
    </row>
    <row r="57" spans="1:7" x14ac:dyDescent="0.25">
      <c r="A57" t="s">
        <v>63</v>
      </c>
      <c r="B57">
        <v>8</v>
      </c>
      <c r="C57">
        <v>0.41299999999999998</v>
      </c>
      <c r="D57">
        <v>0.41299999999999998</v>
      </c>
      <c r="E57">
        <v>0.41499999999999998</v>
      </c>
      <c r="F57">
        <v>0.41199999999999998</v>
      </c>
      <c r="G57">
        <v>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Compare.NET32</vt:lpstr>
      <vt:lpstr>Compare.NET64</vt:lpstr>
      <vt:lpstr>Compare.NET32vs64Native</vt:lpstr>
      <vt:lpstr>CompareNET64StoreNativevsRyuJit</vt:lpstr>
      <vt:lpstr>.NET32</vt:lpstr>
      <vt:lpstr>.NET32Store</vt:lpstr>
      <vt:lpstr>.NET32StoreNative</vt:lpstr>
      <vt:lpstr>.NET64</vt:lpstr>
      <vt:lpstr>.NET64Store</vt:lpstr>
      <vt:lpstr>.NET64StoreNative</vt:lpstr>
      <vt:lpstr>.NET64RyuJit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2014-06-09T14:46:28Z</dcterms:created>
  <dcterms:modified xsi:type="dcterms:W3CDTF">2014-06-15T14:14:33Z</dcterms:modified>
</cp:coreProperties>
</file>